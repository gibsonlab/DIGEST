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g14/Library/CloudStorage/Dropbox/Walt:Gibson lab shared folder/final_paper/v3_github_and_preprint/github_repo/measurement_data/"/>
    </mc:Choice>
  </mc:AlternateContent>
  <xr:revisionPtr revIDLastSave="0" documentId="13_ncr:1_{F7FF1E75-B4AA-B043-AE72-FA6A54D39D5D}" xr6:coauthVersionLast="47" xr6:coauthVersionMax="47" xr10:uidLastSave="{00000000-0000-0000-0000-000000000000}"/>
  <bookViews>
    <workbookView xWindow="25720" yWindow="5460" windowWidth="49140" windowHeight="24420" xr2:uid="{3DC1F768-715E-FE43-826A-47AAA7741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Q39" i="1"/>
  <c r="Q40" i="1" s="1"/>
  <c r="Q41" i="1" s="1"/>
  <c r="Q42" i="1" s="1"/>
  <c r="Q43" i="1" s="1"/>
  <c r="Q44" i="1" s="1"/>
  <c r="I39" i="1"/>
  <c r="I40" i="1" s="1"/>
  <c r="I41" i="1" s="1"/>
  <c r="I42" i="1" s="1"/>
  <c r="I43" i="1" s="1"/>
  <c r="I44" i="1" s="1"/>
  <c r="A39" i="1"/>
  <c r="A40" i="1" s="1"/>
  <c r="A41" i="1" s="1"/>
  <c r="A42" i="1" s="1"/>
  <c r="A43" i="1" s="1"/>
  <c r="A44" i="1" s="1"/>
  <c r="Y3" i="1"/>
  <c r="Y4" i="1" s="1"/>
  <c r="Y5" i="1" s="1"/>
  <c r="Y6" i="1" s="1"/>
  <c r="Y7" i="1" s="1"/>
  <c r="Y8" i="1" s="1"/>
  <c r="Q3" i="1"/>
  <c r="Q4" i="1" s="1"/>
  <c r="Q5" i="1" s="1"/>
  <c r="Q6" i="1" s="1"/>
  <c r="Q7" i="1" s="1"/>
  <c r="Q8" i="1" s="1"/>
  <c r="I3" i="1"/>
  <c r="I4" i="1" s="1"/>
  <c r="I5" i="1" s="1"/>
  <c r="I6" i="1" s="1"/>
  <c r="I7" i="1" s="1"/>
  <c r="I8" i="1" s="1"/>
  <c r="A3" i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<sst xmlns="http://schemas.openxmlformats.org/spreadsheetml/2006/main" count="111" uniqueCount="17">
  <si>
    <t>IT-1</t>
  </si>
  <si>
    <t>IT-3</t>
  </si>
  <si>
    <t>IT-5</t>
  </si>
  <si>
    <t>IT-7</t>
  </si>
  <si>
    <t>IT-9</t>
  </si>
  <si>
    <t>IT-11</t>
  </si>
  <si>
    <t>IL6 (pg/mL)</t>
  </si>
  <si>
    <t>AMB</t>
  </si>
  <si>
    <t>GeoMean_previous gate</t>
  </si>
  <si>
    <t>GeoMean_midpoint of two clusters</t>
  </si>
  <si>
    <t>n/a</t>
  </si>
  <si>
    <t>TNFa (pg/mL)</t>
  </si>
  <si>
    <t>IL22 (pg/mL)</t>
  </si>
  <si>
    <t>IL23 (pg/mL)</t>
  </si>
  <si>
    <t>IL-10 (pg/mL)</t>
  </si>
  <si>
    <t>IL-17 (pg/mL)</t>
  </si>
  <si>
    <t>IL-18 (pg/mL)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</si>
</sst>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53FB-18F9-2A4D-80AC-B56D84A508CF}">
  <dimension ref="A1:AE59"/>
  <sheetViews>
    <sheetView tabSelected="1" zoomScale="153" zoomScaleNormal="153" workbookViewId="0">
      <selection activeCell="C20" sqref="C20"/>
    </sheetView>
  </sheetViews>
  <sheetFormatPr baseColWidth="10" defaultRowHeight="16" x14ac:dyDescent="0.2"/>
  <sheetData>
    <row r="1" spans="1:31" x14ac:dyDescent="0.2">
      <c r="A1" t="s">
        <v>6</v>
      </c>
      <c r="B1" t="s">
        <v>7</v>
      </c>
      <c r="D1" t="s">
        <v>8</v>
      </c>
      <c r="F1" t="s">
        <v>9</v>
      </c>
      <c r="I1" t="s">
        <v>11</v>
      </c>
      <c r="J1" t="s">
        <v>7</v>
      </c>
      <c r="L1" t="s">
        <v>8</v>
      </c>
      <c r="N1" t="s">
        <v>9</v>
      </c>
      <c r="Q1" t="s">
        <v>12</v>
      </c>
      <c r="R1" t="s">
        <v>7</v>
      </c>
      <c r="T1" t="s">
        <v>8</v>
      </c>
      <c r="V1" t="s">
        <v>9</v>
      </c>
      <c r="Y1" t="s">
        <v>13</v>
      </c>
      <c r="Z1" t="s">
        <v>7</v>
      </c>
      <c r="AB1" t="s">
        <v>8</v>
      </c>
      <c r="AD1" t="s">
        <v>9</v>
      </c>
    </row>
    <row r="2" spans="1:31" x14ac:dyDescent="0.2">
      <c r="A2">
        <v>200</v>
      </c>
      <c r="B2">
        <v>0.17197526473981037</v>
      </c>
      <c r="C2">
        <v>8.6211696819065445E-2</v>
      </c>
      <c r="D2">
        <v>27091</v>
      </c>
      <c r="E2">
        <v>18763</v>
      </c>
      <c r="F2">
        <v>370937</v>
      </c>
      <c r="G2">
        <v>744000</v>
      </c>
      <c r="I2">
        <v>200</v>
      </c>
      <c r="J2">
        <v>6.1449962316222594E-2</v>
      </c>
      <c r="K2">
        <v>3.3453376259219576E-2</v>
      </c>
      <c r="L2">
        <v>52192</v>
      </c>
      <c r="M2">
        <v>24656</v>
      </c>
      <c r="N2">
        <v>129026</v>
      </c>
      <c r="O2">
        <v>68211</v>
      </c>
      <c r="Q2">
        <v>200</v>
      </c>
      <c r="R2">
        <v>9.4420575619491895E-2</v>
      </c>
      <c r="S2">
        <v>4.803544903855695E-2</v>
      </c>
      <c r="T2">
        <v>9234</v>
      </c>
      <c r="U2">
        <v>10448</v>
      </c>
      <c r="V2">
        <v>64580</v>
      </c>
      <c r="W2">
        <v>109693</v>
      </c>
      <c r="Y2">
        <v>200</v>
      </c>
      <c r="Z2">
        <v>2.1530118550363214E-2</v>
      </c>
      <c r="AA2">
        <v>1.6231013110417272E-2</v>
      </c>
      <c r="AB2">
        <v>6506</v>
      </c>
      <c r="AC2">
        <v>7693</v>
      </c>
      <c r="AD2">
        <v>11898</v>
      </c>
      <c r="AE2">
        <v>15008</v>
      </c>
    </row>
    <row r="3" spans="1:31" x14ac:dyDescent="0.2">
      <c r="A3">
        <f t="shared" ref="A3:A8" si="0">A2/5</f>
        <v>40</v>
      </c>
      <c r="B3">
        <v>4.5415863530482575E-2</v>
      </c>
      <c r="C3">
        <v>4.3011890593291052E-2</v>
      </c>
      <c r="D3">
        <v>42831</v>
      </c>
      <c r="E3">
        <v>66239</v>
      </c>
      <c r="F3">
        <v>261483</v>
      </c>
      <c r="G3">
        <v>372330</v>
      </c>
      <c r="I3">
        <f t="shared" ref="I3:I8" si="1">I2/5</f>
        <v>40</v>
      </c>
      <c r="J3">
        <v>1.3591953519466972E-2</v>
      </c>
      <c r="K3">
        <v>1.4809115653708226E-2</v>
      </c>
      <c r="L3">
        <v>14721</v>
      </c>
      <c r="M3">
        <v>20356</v>
      </c>
      <c r="N3">
        <v>32855</v>
      </c>
      <c r="O3">
        <v>35807</v>
      </c>
      <c r="Q3">
        <f t="shared" ref="Q3:Q8" si="2">Q2/5</f>
        <v>40</v>
      </c>
      <c r="R3">
        <v>2.5522957231085892E-2</v>
      </c>
      <c r="S3">
        <v>2.4190238801217671E-2</v>
      </c>
      <c r="T3">
        <v>23325</v>
      </c>
      <c r="U3">
        <v>27933</v>
      </c>
      <c r="V3">
        <v>95020</v>
      </c>
      <c r="W3">
        <v>112122</v>
      </c>
      <c r="Y3">
        <f t="shared" ref="Y3:Y8" si="3">Y2/5</f>
        <v>40</v>
      </c>
      <c r="Z3">
        <v>6.7225457608268112E-3</v>
      </c>
      <c r="AA3">
        <v>8.6371933956635883E-3</v>
      </c>
      <c r="AB3">
        <v>5613</v>
      </c>
      <c r="AC3">
        <v>6837</v>
      </c>
      <c r="AD3">
        <v>8762</v>
      </c>
      <c r="AE3">
        <v>10494</v>
      </c>
    </row>
    <row r="4" spans="1:31" x14ac:dyDescent="0.2">
      <c r="A4">
        <f t="shared" si="0"/>
        <v>8</v>
      </c>
      <c r="B4">
        <v>2.0202707317519466E-2</v>
      </c>
      <c r="C4">
        <v>2.3473356185642127E-2</v>
      </c>
      <c r="D4">
        <v>20345</v>
      </c>
      <c r="E4">
        <v>57578</v>
      </c>
      <c r="F4">
        <v>82245</v>
      </c>
      <c r="G4">
        <v>146463</v>
      </c>
      <c r="I4">
        <f t="shared" si="1"/>
        <v>8</v>
      </c>
      <c r="J4">
        <v>6.9239150728241982E-3</v>
      </c>
      <c r="K4">
        <v>3.3054570087264813E-3</v>
      </c>
      <c r="L4">
        <v>11647</v>
      </c>
      <c r="M4">
        <v>12054</v>
      </c>
      <c r="N4">
        <v>40533</v>
      </c>
      <c r="O4">
        <v>20750</v>
      </c>
      <c r="Q4">
        <f t="shared" si="2"/>
        <v>8</v>
      </c>
      <c r="R4">
        <v>1.4809115653708226E-2</v>
      </c>
      <c r="S4">
        <v>1.3008457330480699E-2</v>
      </c>
      <c r="T4">
        <v>20922</v>
      </c>
      <c r="U4">
        <v>14687</v>
      </c>
      <c r="V4">
        <v>41542</v>
      </c>
      <c r="W4">
        <v>30311</v>
      </c>
      <c r="Y4">
        <f t="shared" si="3"/>
        <v>8</v>
      </c>
      <c r="Z4">
        <v>3.9076248310170765E-3</v>
      </c>
      <c r="AA4">
        <v>6.1186810081771768E-3</v>
      </c>
      <c r="AB4">
        <v>3810</v>
      </c>
      <c r="AC4">
        <v>4342</v>
      </c>
      <c r="AD4">
        <v>8457</v>
      </c>
      <c r="AE4">
        <v>9380</v>
      </c>
    </row>
    <row r="5" spans="1:31" x14ac:dyDescent="0.2">
      <c r="A5">
        <f t="shared" si="0"/>
        <v>1.6</v>
      </c>
      <c r="B5">
        <v>6.9239150728241982E-3</v>
      </c>
      <c r="C5">
        <v>4.5206592838079228E-2</v>
      </c>
      <c r="D5">
        <v>15062</v>
      </c>
      <c r="E5">
        <v>9717</v>
      </c>
      <c r="F5">
        <v>65745</v>
      </c>
      <c r="G5">
        <v>36500</v>
      </c>
      <c r="I5">
        <f t="shared" si="1"/>
        <v>1.6</v>
      </c>
      <c r="J5">
        <v>1.2007205765188771E-3</v>
      </c>
      <c r="K5">
        <v>9.5045153599545456E-4</v>
      </c>
      <c r="L5">
        <v>8285</v>
      </c>
      <c r="M5">
        <v>7046</v>
      </c>
      <c r="N5">
        <v>21510</v>
      </c>
      <c r="O5" t="s">
        <v>10</v>
      </c>
      <c r="Q5">
        <f t="shared" si="2"/>
        <v>1.6</v>
      </c>
      <c r="R5">
        <v>6.1186810081771768E-3</v>
      </c>
      <c r="S5">
        <v>7.7297980619412685E-3</v>
      </c>
      <c r="T5">
        <v>14843</v>
      </c>
      <c r="U5">
        <v>17952</v>
      </c>
      <c r="V5">
        <v>27428</v>
      </c>
      <c r="W5">
        <v>25284</v>
      </c>
      <c r="Y5">
        <f t="shared" si="3"/>
        <v>1.6</v>
      </c>
      <c r="Z5">
        <v>4.9120443610206413E-3</v>
      </c>
      <c r="AA5">
        <v>4.9120443610206413E-3</v>
      </c>
      <c r="AB5">
        <v>3677</v>
      </c>
      <c r="AC5">
        <v>6903</v>
      </c>
      <c r="AD5">
        <v>13044</v>
      </c>
      <c r="AE5">
        <v>16340</v>
      </c>
    </row>
    <row r="6" spans="1:31" x14ac:dyDescent="0.2">
      <c r="A6">
        <f t="shared" si="0"/>
        <v>0.32</v>
      </c>
      <c r="B6">
        <v>4.8115569972220816E-3</v>
      </c>
      <c r="C6">
        <v>7.0246149369644663E-3</v>
      </c>
      <c r="D6">
        <v>8832</v>
      </c>
      <c r="E6">
        <v>12131</v>
      </c>
      <c r="F6">
        <v>39959</v>
      </c>
      <c r="G6">
        <v>32968</v>
      </c>
      <c r="I6">
        <f t="shared" si="1"/>
        <v>0.32</v>
      </c>
      <c r="J6">
        <v>1.3008457330480696E-3</v>
      </c>
      <c r="K6">
        <v>4.9012008923074142E-4</v>
      </c>
      <c r="L6">
        <v>32090</v>
      </c>
      <c r="M6">
        <v>9718</v>
      </c>
      <c r="N6">
        <v>93446</v>
      </c>
      <c r="O6">
        <v>19476</v>
      </c>
      <c r="Q6">
        <f t="shared" si="2"/>
        <v>0.32</v>
      </c>
      <c r="R6">
        <v>5.901741184899538E-4</v>
      </c>
      <c r="S6">
        <v>6.4205678029226948E-3</v>
      </c>
      <c r="T6">
        <v>11916</v>
      </c>
      <c r="U6">
        <v>7261</v>
      </c>
      <c r="V6">
        <v>27338</v>
      </c>
      <c r="W6">
        <v>12191</v>
      </c>
      <c r="Y6">
        <f t="shared" si="3"/>
        <v>0.32</v>
      </c>
      <c r="Z6">
        <v>4.3092715880984032E-3</v>
      </c>
      <c r="AA6">
        <v>4.6106125576832937E-3</v>
      </c>
      <c r="AB6">
        <v>3018</v>
      </c>
      <c r="AC6">
        <v>2946</v>
      </c>
      <c r="AD6">
        <v>4512</v>
      </c>
      <c r="AE6" t="s">
        <v>10</v>
      </c>
    </row>
    <row r="7" spans="1:31" x14ac:dyDescent="0.2">
      <c r="A7">
        <f t="shared" si="0"/>
        <v>6.4000000000000001E-2</v>
      </c>
      <c r="B7">
        <v>1.1006054440330039E-3</v>
      </c>
      <c r="C7">
        <v>1.9018072895963312E-3</v>
      </c>
      <c r="D7">
        <v>6305</v>
      </c>
      <c r="E7">
        <v>7632</v>
      </c>
      <c r="F7" t="s">
        <v>10</v>
      </c>
      <c r="G7" t="s">
        <v>10</v>
      </c>
      <c r="I7">
        <f t="shared" si="1"/>
        <v>6.4000000000000001E-2</v>
      </c>
      <c r="J7">
        <v>7.9031221444372747E-4</v>
      </c>
      <c r="K7">
        <v>7.3026657974337888E-4</v>
      </c>
      <c r="L7">
        <v>17430</v>
      </c>
      <c r="M7">
        <v>6358</v>
      </c>
      <c r="N7">
        <v>31369</v>
      </c>
      <c r="O7">
        <v>14641</v>
      </c>
      <c r="Q7">
        <f t="shared" si="2"/>
        <v>6.4000000000000001E-2</v>
      </c>
      <c r="R7">
        <v>6.7022455030468656E-4</v>
      </c>
      <c r="S7">
        <v>6.1018612569496429E-4</v>
      </c>
      <c r="T7">
        <v>8431</v>
      </c>
      <c r="U7">
        <v>8943</v>
      </c>
      <c r="V7">
        <v>21347</v>
      </c>
      <c r="W7">
        <v>15446</v>
      </c>
      <c r="Y7">
        <f t="shared" si="3"/>
        <v>6.4000000000000001E-2</v>
      </c>
      <c r="Z7">
        <v>3.7068619313265121E-3</v>
      </c>
      <c r="AA7">
        <v>3.1048149534787565E-3</v>
      </c>
      <c r="AB7">
        <v>2933</v>
      </c>
      <c r="AC7">
        <v>4161</v>
      </c>
      <c r="AD7" t="s">
        <v>10</v>
      </c>
      <c r="AE7">
        <v>11731</v>
      </c>
    </row>
    <row r="8" spans="1:31" x14ac:dyDescent="0.2">
      <c r="A8">
        <f t="shared" si="0"/>
        <v>1.2800000000000001E-2</v>
      </c>
      <c r="B8">
        <v>1.3008457330480696E-3</v>
      </c>
      <c r="C8">
        <v>2.2024235552000394E-3</v>
      </c>
      <c r="D8">
        <v>5451</v>
      </c>
      <c r="E8">
        <v>10338</v>
      </c>
      <c r="F8" t="s">
        <v>10</v>
      </c>
      <c r="G8">
        <v>28608</v>
      </c>
      <c r="I8">
        <f t="shared" si="1"/>
        <v>1.2800000000000001E-2</v>
      </c>
      <c r="J8">
        <v>4.9012008923074142E-4</v>
      </c>
      <c r="K8">
        <v>6.2019227947957977E-4</v>
      </c>
      <c r="L8">
        <v>12631</v>
      </c>
      <c r="M8">
        <v>4926</v>
      </c>
      <c r="N8">
        <v>27735</v>
      </c>
      <c r="O8" t="s">
        <v>10</v>
      </c>
      <c r="Q8">
        <f t="shared" si="2"/>
        <v>1.2800000000000001E-2</v>
      </c>
      <c r="R8">
        <v>3.9007606977878686E-4</v>
      </c>
      <c r="S8">
        <v>3.3005446198201805E-4</v>
      </c>
      <c r="T8">
        <v>5651</v>
      </c>
      <c r="U8">
        <v>9351</v>
      </c>
      <c r="V8">
        <v>9636</v>
      </c>
      <c r="W8">
        <v>27134</v>
      </c>
      <c r="Y8">
        <f t="shared" si="3"/>
        <v>1.2800000000000001E-2</v>
      </c>
      <c r="Z8">
        <v>3.1048149534787565E-3</v>
      </c>
      <c r="AA8">
        <v>2.904213147389827E-3</v>
      </c>
      <c r="AB8">
        <v>3039</v>
      </c>
      <c r="AC8">
        <v>2923</v>
      </c>
      <c r="AD8">
        <v>3977</v>
      </c>
      <c r="AE8" t="s">
        <v>10</v>
      </c>
    </row>
    <row r="9" spans="1:31" x14ac:dyDescent="0.2">
      <c r="A9">
        <v>0</v>
      </c>
      <c r="B9">
        <v>2.0020026706730793E-3</v>
      </c>
      <c r="C9">
        <v>6.6021789587945585E-4</v>
      </c>
      <c r="D9">
        <v>7599</v>
      </c>
      <c r="E9">
        <v>7533</v>
      </c>
      <c r="F9" t="s">
        <v>10</v>
      </c>
      <c r="G9" t="s">
        <v>10</v>
      </c>
      <c r="I9">
        <v>0</v>
      </c>
      <c r="J9">
        <v>4.4009682840403613E-4</v>
      </c>
      <c r="K9">
        <v>4.7011048461984088E-4</v>
      </c>
      <c r="L9">
        <v>6848</v>
      </c>
      <c r="M9">
        <v>5680</v>
      </c>
      <c r="N9" t="s">
        <v>10</v>
      </c>
      <c r="O9" t="s">
        <v>10</v>
      </c>
      <c r="Q9">
        <v>0</v>
      </c>
      <c r="R9">
        <v>1.3000845073236821E-4</v>
      </c>
      <c r="S9">
        <v>3.7006846688900156E-4</v>
      </c>
      <c r="T9">
        <v>3919</v>
      </c>
      <c r="U9">
        <v>4565</v>
      </c>
      <c r="V9" t="s">
        <v>10</v>
      </c>
      <c r="W9" t="s">
        <v>10</v>
      </c>
      <c r="Y9">
        <v>0</v>
      </c>
      <c r="Z9">
        <v>2.7036515743148232E-3</v>
      </c>
      <c r="AA9">
        <v>2.7036515743148232E-3</v>
      </c>
      <c r="AB9">
        <v>2969</v>
      </c>
      <c r="AC9">
        <v>3621</v>
      </c>
      <c r="AD9">
        <v>3637</v>
      </c>
      <c r="AE9">
        <v>11501</v>
      </c>
    </row>
    <row r="10" spans="1:31" x14ac:dyDescent="0.2">
      <c r="B10">
        <f>GEOMEAN(B9:C9)+3*STDEV(B9:C9)</f>
        <v>3.9960326814781613E-3</v>
      </c>
    </row>
    <row r="11" spans="1:31" x14ac:dyDescent="0.2">
      <c r="A11" s="1" t="s">
        <v>0</v>
      </c>
      <c r="B11">
        <v>1.6012813669738792E-3</v>
      </c>
      <c r="C11">
        <v>8.003201707691552E-4</v>
      </c>
      <c r="D11">
        <v>6534</v>
      </c>
      <c r="E11">
        <v>5437</v>
      </c>
      <c r="F11" t="s">
        <v>10</v>
      </c>
      <c r="G11">
        <v>29626</v>
      </c>
      <c r="I11" s="1" t="s">
        <v>0</v>
      </c>
      <c r="J11">
        <v>3.8072383429540663E-3</v>
      </c>
      <c r="K11">
        <v>3.0045090202987243E-3</v>
      </c>
      <c r="L11">
        <v>7870</v>
      </c>
      <c r="M11">
        <v>9655</v>
      </c>
      <c r="N11">
        <v>23212</v>
      </c>
      <c r="O11">
        <v>24638</v>
      </c>
      <c r="Q11" s="1" t="s">
        <v>0</v>
      </c>
      <c r="R11">
        <v>1.2007205765188771E-3</v>
      </c>
      <c r="S11">
        <v>2.4002880460884758E-4</v>
      </c>
      <c r="T11">
        <v>9222</v>
      </c>
      <c r="U11">
        <v>9777</v>
      </c>
      <c r="V11">
        <v>15218</v>
      </c>
      <c r="W11">
        <v>17146</v>
      </c>
      <c r="Y11" s="1" t="s">
        <v>0</v>
      </c>
      <c r="Z11">
        <v>6.5212169902654632E-3</v>
      </c>
      <c r="AA11">
        <v>5.4146327014988416E-3</v>
      </c>
      <c r="AB11">
        <v>3376</v>
      </c>
      <c r="AC11">
        <v>3064</v>
      </c>
      <c r="AD11">
        <v>7769</v>
      </c>
      <c r="AE11">
        <v>4731</v>
      </c>
    </row>
    <row r="12" spans="1:31" x14ac:dyDescent="0.2">
      <c r="A12" s="1" t="s">
        <v>1</v>
      </c>
      <c r="B12">
        <v>1.1006054440330039E-3</v>
      </c>
      <c r="C12">
        <v>3.9007606977878686E-4</v>
      </c>
      <c r="D12">
        <v>8660</v>
      </c>
      <c r="E12">
        <v>6447</v>
      </c>
      <c r="F12">
        <v>36177</v>
      </c>
      <c r="G12" t="s">
        <v>10</v>
      </c>
      <c r="I12" s="1" t="s">
        <v>1</v>
      </c>
      <c r="J12">
        <v>1.5011261262670914E-3</v>
      </c>
      <c r="K12">
        <v>2.2024235552000394E-3</v>
      </c>
      <c r="L12">
        <v>5710</v>
      </c>
      <c r="M12">
        <v>8054</v>
      </c>
      <c r="N12">
        <v>17367</v>
      </c>
      <c r="O12">
        <v>17976</v>
      </c>
      <c r="Q12" s="1" t="s">
        <v>1</v>
      </c>
      <c r="R12">
        <v>2.2002420354991705E-4</v>
      </c>
      <c r="S12">
        <v>3.2005121092527574E-4</v>
      </c>
      <c r="T12">
        <v>44540</v>
      </c>
      <c r="U12">
        <v>7337</v>
      </c>
      <c r="V12">
        <v>44540</v>
      </c>
      <c r="W12">
        <v>11760</v>
      </c>
      <c r="Y12" s="1" t="s">
        <v>1</v>
      </c>
      <c r="Z12">
        <v>9.545412843531385E-3</v>
      </c>
      <c r="AA12">
        <v>4.510155477886019E-3</v>
      </c>
      <c r="AB12">
        <v>2893</v>
      </c>
      <c r="AC12">
        <v>2932</v>
      </c>
      <c r="AD12" t="s">
        <v>10</v>
      </c>
      <c r="AE12" t="s">
        <v>10</v>
      </c>
    </row>
    <row r="13" spans="1:31" x14ac:dyDescent="0.2">
      <c r="A13" s="1" t="s">
        <v>2</v>
      </c>
      <c r="B13">
        <v>3.9007606977878686E-4</v>
      </c>
      <c r="C13">
        <v>7.1025216936722042E-4</v>
      </c>
      <c r="D13">
        <v>3699</v>
      </c>
      <c r="E13">
        <v>4455</v>
      </c>
      <c r="F13" t="s">
        <v>10</v>
      </c>
      <c r="G13" t="s">
        <v>10</v>
      </c>
      <c r="I13" s="1" t="s">
        <v>2</v>
      </c>
      <c r="J13">
        <v>2.9004205813144775E-4</v>
      </c>
      <c r="K13">
        <v>1.4009809156281003E-3</v>
      </c>
      <c r="L13">
        <v>5108</v>
      </c>
      <c r="M13">
        <v>7003</v>
      </c>
      <c r="N13" t="s">
        <v>10</v>
      </c>
      <c r="O13">
        <v>24803</v>
      </c>
      <c r="Q13" s="1" t="s">
        <v>2</v>
      </c>
      <c r="R13">
        <v>9.6046109512446074E-4</v>
      </c>
      <c r="S13">
        <v>0</v>
      </c>
      <c r="T13">
        <v>10253</v>
      </c>
      <c r="U13" t="s">
        <v>10</v>
      </c>
      <c r="V13">
        <v>24605</v>
      </c>
      <c r="W13" t="s">
        <v>10</v>
      </c>
      <c r="Y13" s="1" t="s">
        <v>2</v>
      </c>
      <c r="Z13">
        <v>1.6012813669738792E-3</v>
      </c>
      <c r="AA13">
        <v>2.3026490626755578E-3</v>
      </c>
      <c r="AB13">
        <v>2825</v>
      </c>
      <c r="AC13">
        <v>2965</v>
      </c>
      <c r="AD13" t="s">
        <v>10</v>
      </c>
      <c r="AE13" t="s">
        <v>10</v>
      </c>
    </row>
    <row r="14" spans="1:31" x14ac:dyDescent="0.2">
      <c r="A14" s="1" t="s">
        <v>3</v>
      </c>
      <c r="B14">
        <v>2.3002645405631884E-4</v>
      </c>
      <c r="C14">
        <v>5.0012504168224286E-4</v>
      </c>
      <c r="D14">
        <v>3774</v>
      </c>
      <c r="E14">
        <v>27829</v>
      </c>
      <c r="F14" t="s">
        <v>10</v>
      </c>
      <c r="G14">
        <v>35332</v>
      </c>
      <c r="I14" s="1" t="s">
        <v>3</v>
      </c>
      <c r="J14">
        <v>4.7110797301192229E-3</v>
      </c>
      <c r="K14">
        <v>8.7380659432852986E-3</v>
      </c>
      <c r="L14">
        <v>13723</v>
      </c>
      <c r="M14">
        <v>14614</v>
      </c>
      <c r="N14">
        <v>30751</v>
      </c>
      <c r="O14">
        <v>23666</v>
      </c>
      <c r="Q14" s="1" t="s">
        <v>3</v>
      </c>
      <c r="R14">
        <v>2.000200026670447E-4</v>
      </c>
      <c r="S14">
        <v>1.9001805228668268E-4</v>
      </c>
      <c r="T14">
        <v>6849</v>
      </c>
      <c r="U14">
        <v>8115</v>
      </c>
      <c r="V14">
        <v>9526</v>
      </c>
      <c r="W14" t="s">
        <v>10</v>
      </c>
      <c r="Y14" s="1" t="s">
        <v>3</v>
      </c>
      <c r="Z14">
        <v>0</v>
      </c>
      <c r="AA14">
        <v>4.0080213975388218E-3</v>
      </c>
      <c r="AB14" t="s">
        <v>10</v>
      </c>
      <c r="AC14">
        <v>3025</v>
      </c>
      <c r="AD14" t="s">
        <v>10</v>
      </c>
      <c r="AE14" t="s">
        <v>10</v>
      </c>
    </row>
    <row r="15" spans="1:31" x14ac:dyDescent="0.2">
      <c r="A15" s="1" t="s">
        <v>4</v>
      </c>
      <c r="B15">
        <v>1.1006054440330039E-3</v>
      </c>
      <c r="C15">
        <v>1.7014466397575704E-3</v>
      </c>
      <c r="D15">
        <v>4256</v>
      </c>
      <c r="E15">
        <v>30833</v>
      </c>
      <c r="F15" t="s">
        <v>10</v>
      </c>
      <c r="G15">
        <v>1160000</v>
      </c>
      <c r="I15" s="1" t="s">
        <v>4</v>
      </c>
      <c r="J15">
        <v>8.0321716972642666E-3</v>
      </c>
      <c r="K15">
        <v>7.2260450917395825E-3</v>
      </c>
      <c r="L15">
        <v>7838</v>
      </c>
      <c r="M15">
        <v>6423</v>
      </c>
      <c r="N15">
        <v>29770</v>
      </c>
      <c r="O15">
        <v>15571</v>
      </c>
      <c r="Q15" s="1" t="s">
        <v>4</v>
      </c>
      <c r="R15">
        <v>3.0004500900199243E-4</v>
      </c>
      <c r="S15">
        <v>1.9018072895963312E-3</v>
      </c>
      <c r="T15">
        <v>11897</v>
      </c>
      <c r="U15">
        <v>8698</v>
      </c>
      <c r="V15">
        <v>18355</v>
      </c>
      <c r="W15">
        <v>12093</v>
      </c>
      <c r="Y15" s="1" t="s">
        <v>4</v>
      </c>
      <c r="Z15">
        <v>6.8232253481255367E-3</v>
      </c>
      <c r="AA15">
        <v>6.5212169902654632E-3</v>
      </c>
      <c r="AB15">
        <v>3240</v>
      </c>
      <c r="AC15">
        <v>3406</v>
      </c>
      <c r="AD15">
        <v>9202</v>
      </c>
      <c r="AE15">
        <v>9726</v>
      </c>
    </row>
    <row r="16" spans="1:31" x14ac:dyDescent="0.2">
      <c r="A16" s="1" t="s">
        <v>5</v>
      </c>
      <c r="B16">
        <v>1.2007205765188771E-3</v>
      </c>
      <c r="C16">
        <v>1.7001445163787897E-4</v>
      </c>
      <c r="D16">
        <v>4103</v>
      </c>
      <c r="E16">
        <v>3688</v>
      </c>
      <c r="F16" t="s">
        <v>10</v>
      </c>
      <c r="G16" t="s">
        <v>10</v>
      </c>
      <c r="I16" s="1" t="s">
        <v>5</v>
      </c>
      <c r="J16">
        <v>1.7014466397575704E-3</v>
      </c>
      <c r="K16">
        <v>9.8048051396142045E-4</v>
      </c>
      <c r="L16">
        <v>19335</v>
      </c>
      <c r="M16">
        <v>7275</v>
      </c>
      <c r="N16">
        <v>233774</v>
      </c>
      <c r="O16" t="s">
        <v>10</v>
      </c>
      <c r="Q16" s="1" t="s">
        <v>5</v>
      </c>
      <c r="R16">
        <v>2.4002880460884758E-4</v>
      </c>
      <c r="S16">
        <v>2.1002205308752979E-4</v>
      </c>
      <c r="T16">
        <v>6056</v>
      </c>
      <c r="U16">
        <v>7547</v>
      </c>
      <c r="V16" t="s">
        <v>10</v>
      </c>
      <c r="W16" t="s">
        <v>10</v>
      </c>
      <c r="Y16" s="1" t="s">
        <v>5</v>
      </c>
      <c r="Z16">
        <v>8.6371933956635883E-3</v>
      </c>
      <c r="AA16">
        <v>5.5151806881101112E-3</v>
      </c>
      <c r="AB16">
        <v>3560</v>
      </c>
      <c r="AC16">
        <v>2929</v>
      </c>
      <c r="AD16">
        <v>10790</v>
      </c>
      <c r="AE16">
        <v>3948</v>
      </c>
    </row>
    <row r="17" spans="1:25" x14ac:dyDescent="0.2">
      <c r="A17" s="1"/>
      <c r="I17" s="1"/>
      <c r="Q17" s="1"/>
      <c r="Y17" s="1"/>
    </row>
    <row r="18" spans="1:25" x14ac:dyDescent="0.2">
      <c r="A18" s="1"/>
      <c r="I18" s="1"/>
      <c r="Q18" s="1"/>
      <c r="Y18" s="1"/>
    </row>
    <row r="19" spans="1:25" x14ac:dyDescent="0.2">
      <c r="A19" s="1"/>
      <c r="I19" s="1"/>
      <c r="Q19" s="1"/>
      <c r="Y19" s="1"/>
    </row>
    <row r="20" spans="1:25" x14ac:dyDescent="0.2">
      <c r="A20" s="1"/>
      <c r="I20" s="1"/>
      <c r="Q20" s="1"/>
      <c r="Y20" s="1"/>
    </row>
    <row r="21" spans="1:25" x14ac:dyDescent="0.2">
      <c r="A21" s="1"/>
      <c r="I21" s="1"/>
      <c r="Q21" s="1"/>
      <c r="Y21" s="1"/>
    </row>
    <row r="22" spans="1:25" x14ac:dyDescent="0.2">
      <c r="A22" s="1"/>
      <c r="I22" s="1"/>
      <c r="Q22" s="1"/>
      <c r="Y22" s="1"/>
    </row>
    <row r="23" spans="1:25" x14ac:dyDescent="0.2">
      <c r="A23" s="1"/>
      <c r="I23" s="1"/>
      <c r="Q23" s="1"/>
      <c r="Y23" s="1"/>
    </row>
    <row r="24" spans="1:25" x14ac:dyDescent="0.2">
      <c r="A24" s="1"/>
      <c r="I24" s="1"/>
      <c r="Q24" s="1"/>
      <c r="Y24" s="1"/>
    </row>
    <row r="25" spans="1:25" x14ac:dyDescent="0.2">
      <c r="A25" s="1"/>
      <c r="I25" s="1"/>
      <c r="Q25" s="1"/>
      <c r="Y25" s="1"/>
    </row>
    <row r="26" spans="1:25" x14ac:dyDescent="0.2">
      <c r="A26" s="1"/>
      <c r="I26" s="1"/>
      <c r="Q26" s="1"/>
      <c r="Y26" s="1"/>
    </row>
    <row r="27" spans="1:25" x14ac:dyDescent="0.2">
      <c r="A27" s="1"/>
      <c r="I27" s="1"/>
      <c r="Q27" s="1"/>
      <c r="Y27" s="1"/>
    </row>
    <row r="28" spans="1:25" x14ac:dyDescent="0.2">
      <c r="A28" s="1"/>
      <c r="I28" s="1"/>
      <c r="Q28" s="1"/>
      <c r="Y28" s="1"/>
    </row>
    <row r="37" spans="1:23" x14ac:dyDescent="0.2">
      <c r="A37" t="s">
        <v>14</v>
      </c>
      <c r="B37" t="s">
        <v>7</v>
      </c>
      <c r="D37" t="s">
        <v>8</v>
      </c>
      <c r="F37" t="s">
        <v>9</v>
      </c>
      <c r="I37" t="s">
        <v>15</v>
      </c>
      <c r="J37" t="s">
        <v>7</v>
      </c>
      <c r="L37" t="s">
        <v>8</v>
      </c>
      <c r="N37" t="s">
        <v>9</v>
      </c>
      <c r="Q37" t="s">
        <v>16</v>
      </c>
      <c r="R37" t="s">
        <v>7</v>
      </c>
      <c r="T37" t="s">
        <v>8</v>
      </c>
      <c r="V37" t="s">
        <v>9</v>
      </c>
    </row>
    <row r="38" spans="1:23" x14ac:dyDescent="0.2">
      <c r="A38">
        <v>200</v>
      </c>
      <c r="B38">
        <v>0.7765287894989964</v>
      </c>
      <c r="C38">
        <v>0.54818141030975964</v>
      </c>
      <c r="D38">
        <v>133480</v>
      </c>
      <c r="E38">
        <v>104910</v>
      </c>
      <c r="F38">
        <v>154193</v>
      </c>
      <c r="G38">
        <v>132920</v>
      </c>
      <c r="I38">
        <v>200</v>
      </c>
      <c r="J38">
        <v>0.69916525288550835</v>
      </c>
      <c r="K38">
        <v>0.49593701127224005</v>
      </c>
      <c r="L38">
        <v>10379</v>
      </c>
      <c r="M38">
        <v>28962</v>
      </c>
      <c r="N38">
        <v>16970</v>
      </c>
      <c r="O38">
        <v>63055</v>
      </c>
      <c r="Q38">
        <v>200</v>
      </c>
      <c r="R38">
        <v>0.59602046982922263</v>
      </c>
      <c r="S38">
        <v>0.47320876019468389</v>
      </c>
      <c r="T38">
        <v>174897</v>
      </c>
      <c r="U38">
        <v>172668</v>
      </c>
      <c r="V38">
        <v>272229</v>
      </c>
      <c r="W38">
        <v>271612</v>
      </c>
    </row>
    <row r="39" spans="1:23" x14ac:dyDescent="0.2">
      <c r="A39">
        <f>A38/5</f>
        <v>40</v>
      </c>
      <c r="B39">
        <v>0.34531118528841737</v>
      </c>
      <c r="C39">
        <v>0.18874212459687728</v>
      </c>
      <c r="D39">
        <v>57805</v>
      </c>
      <c r="E39">
        <v>42015</v>
      </c>
      <c r="F39">
        <v>68592</v>
      </c>
      <c r="G39">
        <v>55809</v>
      </c>
      <c r="I39">
        <f>I38/5</f>
        <v>40</v>
      </c>
      <c r="J39">
        <v>0.28236291097418098</v>
      </c>
      <c r="K39">
        <v>0.2206466711156225</v>
      </c>
      <c r="L39">
        <v>26464</v>
      </c>
      <c r="M39">
        <v>21308</v>
      </c>
      <c r="N39">
        <v>59512</v>
      </c>
      <c r="O39">
        <v>50903</v>
      </c>
      <c r="Q39">
        <f>Q38/5</f>
        <v>40</v>
      </c>
      <c r="R39">
        <v>0.2770718933397654</v>
      </c>
      <c r="S39">
        <v>0.1960148839259572</v>
      </c>
      <c r="T39">
        <v>94842</v>
      </c>
      <c r="U39">
        <v>78195</v>
      </c>
      <c r="V39">
        <v>121640</v>
      </c>
      <c r="W39">
        <v>105537</v>
      </c>
    </row>
    <row r="40" spans="1:23" x14ac:dyDescent="0.2">
      <c r="A40">
        <f t="shared" ref="A40:A44" si="4">A39/5</f>
        <v>8</v>
      </c>
      <c r="B40">
        <v>7.7313103102670255E-2</v>
      </c>
      <c r="C40">
        <v>4.8140375327934984E-2</v>
      </c>
      <c r="D40">
        <v>39148</v>
      </c>
      <c r="E40">
        <v>28088</v>
      </c>
      <c r="F40">
        <v>51547</v>
      </c>
      <c r="G40">
        <v>41090</v>
      </c>
      <c r="I40">
        <f t="shared" ref="I40:I44" si="5">I39/5</f>
        <v>8</v>
      </c>
      <c r="J40">
        <v>0.11428914640212766</v>
      </c>
      <c r="K40">
        <v>9.5300179854324499E-2</v>
      </c>
      <c r="L40">
        <v>21913</v>
      </c>
      <c r="M40">
        <v>18600</v>
      </c>
      <c r="N40">
        <v>41561</v>
      </c>
      <c r="O40">
        <v>34153</v>
      </c>
      <c r="Q40">
        <f t="shared" ref="Q40:Q44" si="6">Q39/5</f>
        <v>8</v>
      </c>
      <c r="R40">
        <v>8.9924707527987008E-2</v>
      </c>
      <c r="S40">
        <v>7.7313103102670255E-2</v>
      </c>
      <c r="T40">
        <v>43756</v>
      </c>
      <c r="U40">
        <v>43660</v>
      </c>
      <c r="V40">
        <v>58674</v>
      </c>
      <c r="W40">
        <v>57575</v>
      </c>
    </row>
    <row r="41" spans="1:23" x14ac:dyDescent="0.2">
      <c r="A41">
        <f t="shared" si="4"/>
        <v>1.6</v>
      </c>
      <c r="B41">
        <v>1.5926150550259255E-2</v>
      </c>
      <c r="C41">
        <v>1.1465478109278096E-2</v>
      </c>
      <c r="D41">
        <v>31129</v>
      </c>
      <c r="E41">
        <v>26991</v>
      </c>
      <c r="F41">
        <v>47387</v>
      </c>
      <c r="G41">
        <v>37507</v>
      </c>
      <c r="I41">
        <f t="shared" si="5"/>
        <v>1.6</v>
      </c>
      <c r="J41">
        <v>7.6017486423915953E-2</v>
      </c>
      <c r="K41">
        <v>3.5109177113567896E-2</v>
      </c>
      <c r="L41">
        <v>13452</v>
      </c>
      <c r="M41">
        <v>12811</v>
      </c>
      <c r="N41">
        <v>19861</v>
      </c>
      <c r="O41">
        <v>22133</v>
      </c>
      <c r="Q41">
        <f t="shared" si="6"/>
        <v>1.6</v>
      </c>
      <c r="R41">
        <v>2.3985362750511312E-2</v>
      </c>
      <c r="S41">
        <v>1.7451393613755858E-2</v>
      </c>
      <c r="T41">
        <v>33088</v>
      </c>
      <c r="U41">
        <v>31278</v>
      </c>
      <c r="V41">
        <v>44634</v>
      </c>
      <c r="W41">
        <v>44774</v>
      </c>
    </row>
    <row r="42" spans="1:23" x14ac:dyDescent="0.2">
      <c r="A42">
        <f t="shared" si="4"/>
        <v>0.32</v>
      </c>
      <c r="B42">
        <v>2.904213147389827E-3</v>
      </c>
      <c r="C42">
        <v>2.904213147389827E-3</v>
      </c>
      <c r="D42">
        <v>23124</v>
      </c>
      <c r="E42">
        <v>24100</v>
      </c>
      <c r="F42">
        <v>42581</v>
      </c>
      <c r="G42">
        <v>47724</v>
      </c>
      <c r="I42">
        <f t="shared" si="5"/>
        <v>0.32</v>
      </c>
      <c r="J42">
        <v>3.7805714735898811E-2</v>
      </c>
      <c r="K42">
        <v>3.6767724192214607E-2</v>
      </c>
      <c r="L42">
        <v>12852</v>
      </c>
      <c r="M42">
        <v>13888</v>
      </c>
      <c r="N42">
        <v>20420</v>
      </c>
      <c r="O42">
        <v>21320</v>
      </c>
      <c r="Q42">
        <f t="shared" si="6"/>
        <v>0.32</v>
      </c>
      <c r="R42">
        <v>4.9120443610206413E-3</v>
      </c>
      <c r="S42">
        <v>5.2135670528874337E-3</v>
      </c>
      <c r="T42">
        <v>24501</v>
      </c>
      <c r="U42">
        <v>25234</v>
      </c>
      <c r="V42">
        <v>38684</v>
      </c>
      <c r="W42">
        <v>41672</v>
      </c>
    </row>
    <row r="43" spans="1:23" x14ac:dyDescent="0.2">
      <c r="A43">
        <f t="shared" si="4"/>
        <v>6.4000000000000001E-2</v>
      </c>
      <c r="B43">
        <v>1.2007205765188771E-3</v>
      </c>
      <c r="C43">
        <v>2.2024235552000394E-3</v>
      </c>
      <c r="D43">
        <v>18615</v>
      </c>
      <c r="E43">
        <v>10803</v>
      </c>
      <c r="F43">
        <v>33117</v>
      </c>
      <c r="G43">
        <v>61131</v>
      </c>
      <c r="I43">
        <f t="shared" si="5"/>
        <v>6.4000000000000001E-2</v>
      </c>
      <c r="J43">
        <v>2.2552404470511489E-2</v>
      </c>
      <c r="K43">
        <v>2.5010163004167762E-2</v>
      </c>
      <c r="L43">
        <v>18055</v>
      </c>
      <c r="M43">
        <v>19689</v>
      </c>
      <c r="N43">
        <v>24709</v>
      </c>
      <c r="O43">
        <v>25973</v>
      </c>
      <c r="Q43">
        <f t="shared" si="6"/>
        <v>6.4000000000000001E-2</v>
      </c>
      <c r="R43">
        <v>1.8016219466282088E-3</v>
      </c>
      <c r="S43">
        <v>1.6012813669738792E-3</v>
      </c>
      <c r="T43">
        <v>18075</v>
      </c>
      <c r="U43">
        <v>16519</v>
      </c>
      <c r="V43">
        <v>44761</v>
      </c>
      <c r="W43">
        <v>36536</v>
      </c>
    </row>
    <row r="44" spans="1:23" x14ac:dyDescent="0.2">
      <c r="A44">
        <f t="shared" si="4"/>
        <v>1.2800000000000001E-2</v>
      </c>
      <c r="B44">
        <v>1.5011261262670914E-3</v>
      </c>
      <c r="C44">
        <v>8.3034464071438867E-4</v>
      </c>
      <c r="D44">
        <v>27709</v>
      </c>
      <c r="E44">
        <v>15285</v>
      </c>
      <c r="F44">
        <v>74119</v>
      </c>
      <c r="G44">
        <v>97442</v>
      </c>
      <c r="I44">
        <f t="shared" si="5"/>
        <v>1.2800000000000001E-2</v>
      </c>
      <c r="J44">
        <v>1.4098924379501648E-2</v>
      </c>
      <c r="K44">
        <v>1.0555513939516587E-2</v>
      </c>
      <c r="L44">
        <v>23764</v>
      </c>
      <c r="M44">
        <v>20136</v>
      </c>
      <c r="N44">
        <v>27643</v>
      </c>
      <c r="O44">
        <v>25685</v>
      </c>
      <c r="Q44">
        <f t="shared" si="6"/>
        <v>1.2800000000000001E-2</v>
      </c>
      <c r="R44">
        <v>1.4009809156281003E-3</v>
      </c>
      <c r="S44">
        <v>1.3008457330480696E-3</v>
      </c>
      <c r="T44">
        <v>11466</v>
      </c>
      <c r="U44">
        <v>13668</v>
      </c>
      <c r="V44">
        <v>42238</v>
      </c>
      <c r="W44">
        <v>61694</v>
      </c>
    </row>
    <row r="45" spans="1:23" x14ac:dyDescent="0.2">
      <c r="A45">
        <v>0</v>
      </c>
      <c r="B45">
        <v>3.3005446198201805E-4</v>
      </c>
      <c r="C45">
        <v>4.5010128038520567E-4</v>
      </c>
      <c r="D45">
        <v>28261</v>
      </c>
      <c r="E45">
        <v>20541</v>
      </c>
      <c r="F45">
        <v>84855</v>
      </c>
      <c r="G45">
        <v>33889</v>
      </c>
      <c r="I45">
        <v>0</v>
      </c>
      <c r="J45">
        <v>6.9239150728241982E-3</v>
      </c>
      <c r="K45">
        <v>1.5316704111893288E-2</v>
      </c>
      <c r="L45">
        <v>39039</v>
      </c>
      <c r="M45">
        <v>24470</v>
      </c>
      <c r="N45">
        <v>39039</v>
      </c>
      <c r="O45">
        <v>30162</v>
      </c>
      <c r="Q45">
        <v>0</v>
      </c>
      <c r="R45">
        <v>1.0005003335835344E-3</v>
      </c>
      <c r="S45">
        <v>1.6012813669738792E-3</v>
      </c>
      <c r="T45">
        <v>9500</v>
      </c>
      <c r="U45">
        <v>16959</v>
      </c>
      <c r="V45">
        <v>21842</v>
      </c>
      <c r="W45">
        <v>45727</v>
      </c>
    </row>
    <row r="47" spans="1:23" x14ac:dyDescent="0.2">
      <c r="A47" s="1" t="s">
        <v>0</v>
      </c>
      <c r="B47">
        <v>5.9174737640376226E-3</v>
      </c>
      <c r="C47">
        <v>1.7553159247589156E-2</v>
      </c>
      <c r="D47">
        <v>33634</v>
      </c>
      <c r="E47">
        <v>31054</v>
      </c>
      <c r="F47">
        <v>74742</v>
      </c>
      <c r="G47">
        <v>40397</v>
      </c>
      <c r="I47" s="1" t="s">
        <v>0</v>
      </c>
      <c r="J47">
        <v>1.8062142818408518E-2</v>
      </c>
      <c r="K47">
        <v>1.0858743334875945E-2</v>
      </c>
      <c r="L47">
        <v>6874</v>
      </c>
      <c r="M47">
        <v>7499</v>
      </c>
      <c r="N47">
        <v>10966</v>
      </c>
      <c r="O47">
        <v>13189</v>
      </c>
      <c r="Q47" s="1" t="s">
        <v>0</v>
      </c>
      <c r="R47">
        <v>2.4028846163103149E-3</v>
      </c>
      <c r="S47">
        <v>2.6033858701149278E-3</v>
      </c>
      <c r="T47">
        <v>25032</v>
      </c>
      <c r="U47">
        <v>21554</v>
      </c>
      <c r="V47">
        <v>52570</v>
      </c>
      <c r="W47">
        <v>39121</v>
      </c>
    </row>
    <row r="48" spans="1:23" x14ac:dyDescent="0.2">
      <c r="A48" s="1" t="s">
        <v>1</v>
      </c>
      <c r="B48">
        <v>1.4809115653708226E-2</v>
      </c>
      <c r="C48">
        <v>9.3435150031524663E-3</v>
      </c>
      <c r="D48">
        <v>37844</v>
      </c>
      <c r="E48">
        <v>36871</v>
      </c>
      <c r="F48">
        <v>53066</v>
      </c>
      <c r="G48">
        <v>51364</v>
      </c>
      <c r="I48" s="1" t="s">
        <v>1</v>
      </c>
      <c r="J48">
        <v>7.1253249425886267E-3</v>
      </c>
      <c r="K48">
        <v>1.4707628872274288E-2</v>
      </c>
      <c r="L48">
        <v>5981</v>
      </c>
      <c r="M48">
        <v>7320</v>
      </c>
      <c r="N48">
        <v>8570</v>
      </c>
      <c r="O48">
        <v>11167</v>
      </c>
      <c r="Q48" s="1" t="s">
        <v>1</v>
      </c>
      <c r="R48">
        <v>3.7068619313265121E-3</v>
      </c>
      <c r="S48">
        <v>4.2088447740546821E-3</v>
      </c>
      <c r="T48">
        <v>26932</v>
      </c>
      <c r="U48">
        <v>29675</v>
      </c>
      <c r="V48">
        <v>47429</v>
      </c>
      <c r="W48">
        <v>50492</v>
      </c>
    </row>
    <row r="49" spans="1:23" x14ac:dyDescent="0.2">
      <c r="A49" s="1" t="s">
        <v>2</v>
      </c>
      <c r="B49">
        <v>1.5011261262670914E-3</v>
      </c>
      <c r="C49">
        <v>7.5028139070417745E-4</v>
      </c>
      <c r="D49">
        <v>8386</v>
      </c>
      <c r="E49">
        <v>6502</v>
      </c>
      <c r="F49">
        <v>85944</v>
      </c>
      <c r="G49" t="s">
        <v>10</v>
      </c>
      <c r="I49" s="1" t="s">
        <v>2</v>
      </c>
      <c r="J49">
        <v>8.003201707691552E-4</v>
      </c>
      <c r="K49">
        <v>1.9018072895963312E-3</v>
      </c>
      <c r="L49">
        <v>3707</v>
      </c>
      <c r="M49">
        <v>7549</v>
      </c>
      <c r="N49" t="s">
        <v>10</v>
      </c>
      <c r="O49">
        <v>16177</v>
      </c>
      <c r="Q49" s="1" t="s">
        <v>2</v>
      </c>
      <c r="R49">
        <v>1.5011261262670914E-3</v>
      </c>
      <c r="S49">
        <v>1.2007205765188771E-3</v>
      </c>
      <c r="T49">
        <v>16283</v>
      </c>
      <c r="U49">
        <v>10299</v>
      </c>
      <c r="V49">
        <v>53294</v>
      </c>
      <c r="W49">
        <v>45210</v>
      </c>
    </row>
    <row r="50" spans="1:23" x14ac:dyDescent="0.2">
      <c r="A50" s="1" t="s">
        <v>3</v>
      </c>
      <c r="B50">
        <v>0.98082925301172619</v>
      </c>
      <c r="C50">
        <v>0.92381899829494663</v>
      </c>
      <c r="D50">
        <v>203223</v>
      </c>
      <c r="E50">
        <v>250171</v>
      </c>
      <c r="F50">
        <v>251904</v>
      </c>
      <c r="G50">
        <v>306819</v>
      </c>
      <c r="I50" s="1" t="s">
        <v>3</v>
      </c>
      <c r="J50">
        <v>0</v>
      </c>
      <c r="K50">
        <v>1.9018072895963312E-3</v>
      </c>
      <c r="L50" t="s">
        <v>10</v>
      </c>
      <c r="M50">
        <v>4217</v>
      </c>
      <c r="N50" t="s">
        <v>10</v>
      </c>
      <c r="O50">
        <v>7095</v>
      </c>
      <c r="Q50" s="1" t="s">
        <v>3</v>
      </c>
      <c r="R50">
        <v>0.78307188808793216</v>
      </c>
      <c r="S50">
        <v>0.54991301247403757</v>
      </c>
      <c r="T50">
        <v>213350</v>
      </c>
      <c r="U50">
        <v>147088</v>
      </c>
      <c r="V50">
        <v>263363</v>
      </c>
      <c r="W50">
        <v>193399</v>
      </c>
    </row>
    <row r="51" spans="1:23" x14ac:dyDescent="0.2">
      <c r="A51" s="1" t="s">
        <v>4</v>
      </c>
      <c r="B51">
        <v>1.7756721589258985E-2</v>
      </c>
      <c r="C51">
        <v>9.1416579172833873E-3</v>
      </c>
      <c r="D51">
        <v>43192</v>
      </c>
      <c r="E51">
        <v>20460</v>
      </c>
      <c r="F51">
        <v>58659</v>
      </c>
      <c r="G51">
        <v>33140</v>
      </c>
      <c r="I51" s="1" t="s">
        <v>4</v>
      </c>
      <c r="J51">
        <v>6.3199287448193475E-3</v>
      </c>
      <c r="K51">
        <v>7.4275158287965843E-3</v>
      </c>
      <c r="L51">
        <v>7553</v>
      </c>
      <c r="M51">
        <v>7806</v>
      </c>
      <c r="N51">
        <v>13938</v>
      </c>
      <c r="O51">
        <v>16107</v>
      </c>
      <c r="Q51" s="1" t="s">
        <v>4</v>
      </c>
      <c r="R51">
        <v>1.0959840236342012E-2</v>
      </c>
      <c r="S51">
        <v>5.6157387856357452E-3</v>
      </c>
      <c r="T51">
        <v>32191</v>
      </c>
      <c r="U51">
        <v>24378</v>
      </c>
      <c r="V51">
        <v>48112</v>
      </c>
      <c r="W51">
        <v>38413</v>
      </c>
    </row>
    <row r="52" spans="1:23" x14ac:dyDescent="0.2">
      <c r="A52" s="1" t="s">
        <v>5</v>
      </c>
      <c r="B52">
        <v>1.2007205765188771E-3</v>
      </c>
      <c r="C52">
        <v>6.9023815955966748E-4</v>
      </c>
      <c r="D52">
        <v>9371</v>
      </c>
      <c r="E52">
        <v>6145</v>
      </c>
      <c r="F52">
        <v>41844</v>
      </c>
      <c r="G52" t="s">
        <v>10</v>
      </c>
      <c r="I52" s="1" t="s">
        <v>5</v>
      </c>
      <c r="J52">
        <v>7.8305791151885643E-3</v>
      </c>
      <c r="K52">
        <v>6.9239150728241982E-3</v>
      </c>
      <c r="L52">
        <v>10356</v>
      </c>
      <c r="M52">
        <v>6092</v>
      </c>
      <c r="N52">
        <v>17945</v>
      </c>
      <c r="O52">
        <v>10253</v>
      </c>
      <c r="Q52" s="1" t="s">
        <v>5</v>
      </c>
      <c r="R52">
        <v>1.6012813669738792E-3</v>
      </c>
      <c r="S52">
        <v>1.6012813669738792E-3</v>
      </c>
      <c r="T52">
        <v>18519</v>
      </c>
      <c r="U52">
        <v>16436</v>
      </c>
      <c r="V52">
        <v>52226</v>
      </c>
      <c r="W52">
        <v>37705</v>
      </c>
    </row>
    <row r="53" spans="1:23" x14ac:dyDescent="0.2">
      <c r="A53" s="1"/>
      <c r="I53" s="1"/>
      <c r="Q53" s="1"/>
    </row>
    <row r="54" spans="1:23" x14ac:dyDescent="0.2">
      <c r="A54" s="1"/>
      <c r="I54" s="1"/>
      <c r="Q54" s="1"/>
    </row>
    <row r="55" spans="1:23" x14ac:dyDescent="0.2">
      <c r="A55" s="1"/>
      <c r="I55" s="1"/>
      <c r="Q55" s="1"/>
    </row>
    <row r="56" spans="1:23" x14ac:dyDescent="0.2">
      <c r="A56" s="1"/>
      <c r="I56" s="1"/>
      <c r="Q56" s="1"/>
    </row>
    <row r="57" spans="1:23" x14ac:dyDescent="0.2">
      <c r="A57" s="1"/>
      <c r="I57" s="1"/>
      <c r="Q57" s="1"/>
    </row>
    <row r="58" spans="1:23" x14ac:dyDescent="0.2">
      <c r="A58" s="1"/>
      <c r="I58" s="1"/>
      <c r="Q58" s="1"/>
    </row>
    <row r="59" spans="1:23" x14ac:dyDescent="0.2">
      <c r="A59" s="1"/>
      <c r="I59" s="1"/>
      <c r="Q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Stephanie</dc:creator>
  <cp:lastModifiedBy>Gibson, Travis E.</cp:lastModifiedBy>
  <dcterms:created xsi:type="dcterms:W3CDTF">2025-10-28T15:43:15Z</dcterms:created>
  <dcterms:modified xsi:type="dcterms:W3CDTF">2026-03-09T15:25:34Z</dcterms:modified>
</cp:coreProperties>
</file>