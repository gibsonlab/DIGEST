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v2_trim_data_tables_public_facing_2026_feb/human ibd and cancer/rawdata/"/>
    </mc:Choice>
  </mc:AlternateContent>
  <xr:revisionPtr revIDLastSave="0" documentId="13_ncr:1_{A7256084-4C2F-FE44-90A0-FA787E18AABA}" xr6:coauthVersionLast="47" xr6:coauthVersionMax="47" xr10:uidLastSave="{00000000-0000-0000-0000-000000000000}"/>
  <bookViews>
    <workbookView xWindow="0" yWindow="740" windowWidth="29400" windowHeight="17280" xr2:uid="{845E1279-2377-A94A-B597-EFA313B97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7" i="1" l="1"/>
  <c r="X40" i="1"/>
  <c r="X41" i="1" s="1"/>
  <c r="X42" i="1" s="1"/>
  <c r="X43" i="1" s="1"/>
  <c r="X44" i="1" s="1"/>
  <c r="X45" i="1" s="1"/>
  <c r="BP2" i="1"/>
  <c r="BP3" i="1" s="1"/>
  <c r="BP4" i="1" s="1"/>
  <c r="BP5" i="1" s="1"/>
  <c r="BP6" i="1" s="1"/>
  <c r="BP7" i="1" s="1"/>
  <c r="BP8" i="1" s="1"/>
  <c r="BE2" i="1"/>
  <c r="BE3" i="1" s="1"/>
  <c r="BE4" i="1" s="1"/>
  <c r="BE5" i="1" s="1"/>
  <c r="BE6" i="1" s="1"/>
  <c r="BE7" i="1" s="1"/>
  <c r="BE8" i="1" s="1"/>
  <c r="AT2" i="1"/>
  <c r="AT3" i="1" s="1"/>
  <c r="AT4" i="1" s="1"/>
  <c r="AT5" i="1" s="1"/>
  <c r="AT6" i="1" s="1"/>
  <c r="AT7" i="1" s="1"/>
  <c r="AT8" i="1" s="1"/>
  <c r="AI2" i="1"/>
  <c r="AI3" i="1" s="1"/>
  <c r="AI4" i="1" s="1"/>
  <c r="AI5" i="1" s="1"/>
  <c r="AI6" i="1" s="1"/>
  <c r="AI7" i="1" s="1"/>
  <c r="AI8" i="1" s="1"/>
  <c r="X2" i="1"/>
  <c r="X3" i="1" s="1"/>
  <c r="X4" i="1" s="1"/>
  <c r="X5" i="1" s="1"/>
  <c r="X6" i="1" s="1"/>
  <c r="X7" i="1" s="1"/>
  <c r="X8" i="1" s="1"/>
  <c r="M2" i="1"/>
  <c r="M3" i="1" s="1"/>
  <c r="M4" i="1" s="1"/>
  <c r="M5" i="1" s="1"/>
  <c r="M6" i="1" s="1"/>
  <c r="M7" i="1" s="1"/>
  <c r="M8" i="1" s="1"/>
  <c r="B2" i="1"/>
  <c r="B3" i="1" s="1"/>
  <c r="B4" i="1" s="1"/>
  <c r="B5" i="1" s="1"/>
  <c r="B6" i="1" s="1"/>
  <c r="B7" i="1" s="1"/>
  <c r="B8" i="1" s="1"/>
</calcChain>
</file>

<file path=xl/sharedStrings.xml><?xml version="1.0" encoding="utf-8"?>
<sst xmlns="http://schemas.openxmlformats.org/spreadsheetml/2006/main" count="44" uniqueCount="29">
  <si>
    <t>IL6 (pg/mL)</t>
  </si>
  <si>
    <t>Number</t>
  </si>
  <si>
    <t>TNFa (pg/mL)</t>
  </si>
  <si>
    <t>IL22 (pg/mL)</t>
  </si>
  <si>
    <t>IL23 (pg/mL)</t>
  </si>
  <si>
    <t>IL10 (pg/mL)</t>
  </si>
  <si>
    <t>IL18 (pg/mL)</t>
  </si>
  <si>
    <t>IL17 (pg/mL)</t>
  </si>
  <si>
    <t>LOD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</si>
  <si>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</si>
  <si>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</si>
  <si>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</si>
  <si>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</si>
  <si>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</si>
  <si>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</si>
  <si>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</si>
  <si>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</si>
  <si>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</si>
  <si>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</si>
  <si>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</si>
  <si>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</si>
  <si>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C2-13</t>
  </si>
  <si>
    <t>C2-14</t>
  </si>
  <si>
    <t>C2-15</t>
  </si>
  <si>
    <t>re-run</t>
  </si>
  <si>
    <t>geo mean FL</t>
  </si>
  <si>
    <t>AMB</t>
  </si>
  <si>
    <t>Geomean FL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</si>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</sst>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EB09-75C8-7140-BAEF-AFC45BE599D9}">
  <dimension ref="A1:BX77"/>
  <sheetViews>
    <sheetView tabSelected="1" topLeftCell="B6" zoomScale="85" zoomScaleNormal="85" workbookViewId="0">
      <selection activeCell="U38" sqref="U38"/>
    </sheetView>
  </sheetViews>
  <sheetFormatPr baseColWidth="10" defaultRowHeight="16" x14ac:dyDescent="0.2"/>
  <sheetData>
    <row r="1" spans="1:76" x14ac:dyDescent="0.2">
      <c r="C1" t="s">
        <v>26</v>
      </c>
      <c r="G1" t="s">
        <v>27</v>
      </c>
      <c r="N1" t="s">
        <v>26</v>
      </c>
      <c r="R1" t="s">
        <v>27</v>
      </c>
      <c r="Y1" t="s">
        <v>26</v>
      </c>
      <c r="AC1" t="s">
        <v>27</v>
      </c>
      <c r="AJ1" t="s">
        <v>26</v>
      </c>
      <c r="AN1" t="s">
        <v>27</v>
      </c>
      <c r="AU1" t="s">
        <v>26</v>
      </c>
      <c r="BQ1" t="s">
        <v>26</v>
      </c>
    </row>
    <row r="2" spans="1:76" x14ac:dyDescent="0.2">
      <c r="A2" s="1" t="s">
        <v>0</v>
      </c>
      <c r="B2">
        <f>200</f>
        <v>200</v>
      </c>
      <c r="C2">
        <v>2.4079456086518722</v>
      </c>
      <c r="D2">
        <v>2.0955709236097197</v>
      </c>
      <c r="G2">
        <v>213298</v>
      </c>
      <c r="H2">
        <v>73064</v>
      </c>
      <c r="L2" s="1" t="s">
        <v>2</v>
      </c>
      <c r="M2">
        <f>200</f>
        <v>200</v>
      </c>
      <c r="N2">
        <v>0.44316697529217586</v>
      </c>
      <c r="O2">
        <v>1.3019532126861397</v>
      </c>
      <c r="R2">
        <v>19632</v>
      </c>
      <c r="S2">
        <v>36494</v>
      </c>
      <c r="W2" s="1" t="s">
        <v>3</v>
      </c>
      <c r="X2">
        <f>200</f>
        <v>200</v>
      </c>
      <c r="Y2">
        <v>0.69916525288550835</v>
      </c>
      <c r="Z2">
        <v>0.71334988787746478</v>
      </c>
      <c r="AC2">
        <v>630000</v>
      </c>
      <c r="AD2">
        <v>553000</v>
      </c>
      <c r="AH2" s="1" t="s">
        <v>4</v>
      </c>
      <c r="AI2">
        <f>200</f>
        <v>200</v>
      </c>
      <c r="AJ2">
        <v>0.57092954783569616</v>
      </c>
      <c r="AK2">
        <v>0.42312004334688508</v>
      </c>
      <c r="AN2">
        <v>35585</v>
      </c>
      <c r="AO2">
        <v>33650</v>
      </c>
      <c r="AS2" s="1" t="s">
        <v>5</v>
      </c>
      <c r="AT2">
        <f>200</f>
        <v>200</v>
      </c>
      <c r="AU2">
        <v>2.234926444520231</v>
      </c>
      <c r="AV2">
        <v>2.1803674602697964</v>
      </c>
      <c r="AY2">
        <v>168592</v>
      </c>
      <c r="AZ2">
        <v>229736</v>
      </c>
      <c r="BD2" s="1" t="s">
        <v>6</v>
      </c>
      <c r="BE2">
        <f>200</f>
        <v>200</v>
      </c>
      <c r="BF2">
        <v>2.4534079827286299</v>
      </c>
      <c r="BG2">
        <v>2.3968957724652875</v>
      </c>
      <c r="BJ2">
        <v>388952</v>
      </c>
      <c r="BK2">
        <v>469000</v>
      </c>
      <c r="BO2" s="1" t="s">
        <v>7</v>
      </c>
      <c r="BP2">
        <f>200</f>
        <v>200</v>
      </c>
      <c r="BQ2">
        <v>3.4420193761824098</v>
      </c>
      <c r="BR2">
        <v>3.1941832122778311</v>
      </c>
      <c r="BU2">
        <v>397005</v>
      </c>
      <c r="BV2">
        <v>228902</v>
      </c>
    </row>
    <row r="3" spans="1:76" x14ac:dyDescent="0.2">
      <c r="B3">
        <f t="shared" ref="B3:B8" si="0">B2/5</f>
        <v>40</v>
      </c>
      <c r="C3">
        <v>1.2310014767138551</v>
      </c>
      <c r="D3">
        <v>1.1583622930738835</v>
      </c>
      <c r="G3">
        <v>76861</v>
      </c>
      <c r="H3">
        <v>49274</v>
      </c>
      <c r="M3">
        <f t="shared" ref="M3:M8" si="1">M2/5</f>
        <v>40</v>
      </c>
      <c r="N3">
        <v>0.1210383283770561</v>
      </c>
      <c r="O3">
        <v>0.19845093872383818</v>
      </c>
      <c r="R3">
        <v>13341</v>
      </c>
      <c r="S3">
        <v>13616</v>
      </c>
      <c r="X3">
        <f t="shared" ref="X3:X8" si="2">X2/5</f>
        <v>40</v>
      </c>
      <c r="Y3">
        <v>0.35953617621976464</v>
      </c>
      <c r="Z3">
        <v>0.26266430947649305</v>
      </c>
      <c r="AC3">
        <v>350546</v>
      </c>
      <c r="AD3">
        <v>333040</v>
      </c>
      <c r="AI3">
        <f t="shared" ref="AI3:AI8" si="3">AI2/5</f>
        <v>40</v>
      </c>
      <c r="AJ3">
        <v>0.14618251017808145</v>
      </c>
      <c r="AK3">
        <v>0.24079848655293046</v>
      </c>
      <c r="AN3">
        <v>19659</v>
      </c>
      <c r="AO3">
        <v>21463</v>
      </c>
      <c r="AT3">
        <f t="shared" ref="AT3:AT8" si="4">AT2/5</f>
        <v>40</v>
      </c>
      <c r="AU3">
        <v>1.3704210119636004</v>
      </c>
      <c r="AV3">
        <v>0.95972028980149104</v>
      </c>
      <c r="AY3">
        <v>48844</v>
      </c>
      <c r="AZ3">
        <v>34776</v>
      </c>
      <c r="BE3">
        <f t="shared" ref="BE3:BE8" si="5">BE2/5</f>
        <v>40</v>
      </c>
      <c r="BF3">
        <v>1.6144504542576443</v>
      </c>
      <c r="BG3">
        <v>2.0249533563957662</v>
      </c>
      <c r="BJ3">
        <v>88646</v>
      </c>
      <c r="BK3">
        <v>141286</v>
      </c>
      <c r="BP3">
        <f t="shared" ref="BP3:BP8" si="6">BP2/5</f>
        <v>40</v>
      </c>
      <c r="BQ3">
        <v>2.0714733720306597</v>
      </c>
      <c r="BR3">
        <v>2.234926444520231</v>
      </c>
      <c r="BU3">
        <v>94130</v>
      </c>
      <c r="BV3">
        <v>102951</v>
      </c>
    </row>
    <row r="4" spans="1:76" x14ac:dyDescent="0.2">
      <c r="B4">
        <f t="shared" si="0"/>
        <v>8</v>
      </c>
      <c r="C4">
        <v>1.0700248318161971</v>
      </c>
      <c r="D4">
        <v>0.95972028980149104</v>
      </c>
      <c r="G4">
        <v>32667</v>
      </c>
      <c r="H4">
        <v>26285</v>
      </c>
      <c r="M4">
        <f t="shared" si="1"/>
        <v>8</v>
      </c>
      <c r="N4">
        <v>0.16487464319023401</v>
      </c>
      <c r="O4">
        <v>7.5801713416281849E-2</v>
      </c>
      <c r="R4">
        <v>13568</v>
      </c>
      <c r="S4">
        <v>11747</v>
      </c>
      <c r="X4">
        <f t="shared" si="2"/>
        <v>8</v>
      </c>
      <c r="Y4">
        <v>3.1490667091370848E-2</v>
      </c>
      <c r="Z4">
        <v>1.816397062767118E-2</v>
      </c>
      <c r="AC4">
        <v>287113</v>
      </c>
      <c r="AD4">
        <v>281251</v>
      </c>
      <c r="AI4">
        <f t="shared" si="3"/>
        <v>8</v>
      </c>
      <c r="AJ4">
        <v>8.2838278309004518E-2</v>
      </c>
      <c r="AK4">
        <v>5.6887862207048417E-2</v>
      </c>
      <c r="AN4">
        <v>19366</v>
      </c>
      <c r="AO4">
        <v>17932</v>
      </c>
      <c r="AT4">
        <f t="shared" si="4"/>
        <v>8</v>
      </c>
      <c r="AU4">
        <v>0.44785082460460224</v>
      </c>
      <c r="AV4">
        <v>0.45728485683796083</v>
      </c>
      <c r="AY4">
        <v>30051</v>
      </c>
      <c r="AZ4">
        <v>30641</v>
      </c>
      <c r="BE4">
        <f t="shared" si="5"/>
        <v>8</v>
      </c>
      <c r="BF4">
        <v>1.3356012468043725</v>
      </c>
      <c r="BG4">
        <v>0.90386821187559785</v>
      </c>
      <c r="BJ4">
        <v>58019</v>
      </c>
      <c r="BK4">
        <v>41590</v>
      </c>
      <c r="BP4">
        <f t="shared" si="6"/>
        <v>8</v>
      </c>
      <c r="BQ4">
        <v>1.5798791101925562</v>
      </c>
      <c r="BR4">
        <v>1.6094379124341005</v>
      </c>
      <c r="BU4">
        <v>33414</v>
      </c>
      <c r="BV4">
        <v>29664</v>
      </c>
    </row>
    <row r="5" spans="1:76" x14ac:dyDescent="0.2">
      <c r="B5">
        <f t="shared" si="0"/>
        <v>1.6</v>
      </c>
      <c r="C5">
        <v>0.42924563677356775</v>
      </c>
      <c r="D5">
        <v>0.31882880144861769</v>
      </c>
      <c r="G5">
        <v>17291</v>
      </c>
      <c r="H5">
        <v>15958</v>
      </c>
      <c r="M5">
        <f t="shared" si="1"/>
        <v>1.6</v>
      </c>
      <c r="N5">
        <v>4.4997365930735805E-2</v>
      </c>
      <c r="O5">
        <v>3.6975236124895311E-2</v>
      </c>
      <c r="R5">
        <v>11711</v>
      </c>
      <c r="S5">
        <v>10720</v>
      </c>
      <c r="X5">
        <f t="shared" si="2"/>
        <v>1.6</v>
      </c>
      <c r="Y5">
        <v>1.9018072895963312E-3</v>
      </c>
      <c r="Z5">
        <v>2.1022080918701985E-3</v>
      </c>
      <c r="AC5">
        <v>270503</v>
      </c>
      <c r="AD5">
        <v>260055</v>
      </c>
      <c r="AI5">
        <f t="shared" si="3"/>
        <v>1.6</v>
      </c>
      <c r="AJ5">
        <v>2.132578671475243E-2</v>
      </c>
      <c r="AK5">
        <v>1.7451393613755858E-2</v>
      </c>
      <c r="AN5">
        <v>17893</v>
      </c>
      <c r="AO5">
        <v>16523</v>
      </c>
      <c r="AT5">
        <f t="shared" si="4"/>
        <v>1.6</v>
      </c>
      <c r="AU5">
        <v>9.3981063470893952E-2</v>
      </c>
      <c r="AV5">
        <v>8.5340047167015362E-2</v>
      </c>
      <c r="AY5">
        <v>27653</v>
      </c>
      <c r="AZ5">
        <v>25139</v>
      </c>
      <c r="BE5">
        <f t="shared" si="5"/>
        <v>1.6</v>
      </c>
      <c r="BF5">
        <v>0.38126041941134692</v>
      </c>
      <c r="BG5">
        <v>0.24079848655293046</v>
      </c>
      <c r="BJ5">
        <v>35701</v>
      </c>
      <c r="BK5">
        <v>30105</v>
      </c>
      <c r="BP5">
        <f t="shared" si="6"/>
        <v>1.6</v>
      </c>
      <c r="BQ5">
        <v>0.59602046982922263</v>
      </c>
      <c r="BR5">
        <v>0.58160580582703802</v>
      </c>
      <c r="BU5">
        <v>17046</v>
      </c>
      <c r="BV5">
        <v>17043</v>
      </c>
    </row>
    <row r="6" spans="1:76" x14ac:dyDescent="0.2">
      <c r="B6">
        <f t="shared" si="0"/>
        <v>0.32</v>
      </c>
      <c r="C6">
        <v>0.1210383283770561</v>
      </c>
      <c r="D6">
        <v>0.10015188195044104</v>
      </c>
      <c r="G6">
        <v>13566</v>
      </c>
      <c r="H6">
        <v>13384</v>
      </c>
      <c r="M6">
        <f t="shared" si="1"/>
        <v>0.32</v>
      </c>
      <c r="N6">
        <v>1.7553159247589156E-2</v>
      </c>
      <c r="O6">
        <v>1.4403230310743743E-2</v>
      </c>
      <c r="R6">
        <v>10282</v>
      </c>
      <c r="S6">
        <v>10409</v>
      </c>
      <c r="X6">
        <f t="shared" si="2"/>
        <v>0.32</v>
      </c>
      <c r="Y6">
        <v>1.5011261262670914E-3</v>
      </c>
      <c r="Z6">
        <v>1.7014466397575704E-3</v>
      </c>
      <c r="AC6">
        <v>262110</v>
      </c>
      <c r="AD6">
        <v>275847</v>
      </c>
      <c r="AI6">
        <f t="shared" si="3"/>
        <v>0.32</v>
      </c>
      <c r="AJ6">
        <v>9.7473514548800742E-3</v>
      </c>
      <c r="AK6">
        <v>8.6371933956635883E-3</v>
      </c>
      <c r="AN6">
        <v>15815</v>
      </c>
      <c r="AO6">
        <v>15347</v>
      </c>
      <c r="AT6">
        <f t="shared" si="4"/>
        <v>0.32</v>
      </c>
      <c r="AU6">
        <v>1.9488676583862413E-2</v>
      </c>
      <c r="AV6">
        <v>2.0917248255388307E-2</v>
      </c>
      <c r="AY6">
        <v>21000</v>
      </c>
      <c r="AZ6">
        <v>21580</v>
      </c>
      <c r="BE6">
        <f t="shared" si="5"/>
        <v>0.32</v>
      </c>
      <c r="BF6">
        <v>6.283330917156911E-2</v>
      </c>
      <c r="BG6">
        <v>6.0918414969417134E-2</v>
      </c>
      <c r="BJ6">
        <v>28063</v>
      </c>
      <c r="BK6">
        <v>29639</v>
      </c>
      <c r="BP6">
        <f t="shared" si="6"/>
        <v>0.32</v>
      </c>
      <c r="BQ6">
        <v>0.16251892949777494</v>
      </c>
      <c r="BR6">
        <v>0.23067181773500128</v>
      </c>
      <c r="BU6">
        <v>14308</v>
      </c>
      <c r="BV6">
        <v>15190</v>
      </c>
    </row>
    <row r="7" spans="1:76" x14ac:dyDescent="0.2">
      <c r="B7">
        <f t="shared" si="0"/>
        <v>6.4000000000000001E-2</v>
      </c>
      <c r="C7">
        <v>4.0821994520255166E-2</v>
      </c>
      <c r="D7">
        <v>2.7165668072769551E-2</v>
      </c>
      <c r="G7">
        <v>12945</v>
      </c>
      <c r="H7">
        <v>12568</v>
      </c>
      <c r="M7">
        <f t="shared" si="1"/>
        <v>6.4000000000000001E-2</v>
      </c>
      <c r="N7">
        <v>1.2680053157374483E-2</v>
      </c>
      <c r="O7">
        <v>1.3287894326935407E-2</v>
      </c>
      <c r="R7">
        <v>9040</v>
      </c>
      <c r="S7">
        <v>9884</v>
      </c>
      <c r="X7">
        <f t="shared" si="2"/>
        <v>6.4000000000000001E-2</v>
      </c>
      <c r="Y7">
        <v>1.4009809156281003E-3</v>
      </c>
      <c r="Z7">
        <v>1.1006054440330039E-3</v>
      </c>
      <c r="AC7">
        <v>258169</v>
      </c>
      <c r="AD7">
        <v>260170</v>
      </c>
      <c r="AI7">
        <f t="shared" si="3"/>
        <v>6.4000000000000001E-2</v>
      </c>
      <c r="AJ7">
        <v>6.8232253481255367E-3</v>
      </c>
      <c r="AK7">
        <v>1.1870172570487445E-2</v>
      </c>
      <c r="AN7">
        <v>15523</v>
      </c>
      <c r="AO7">
        <v>16547</v>
      </c>
      <c r="AT7">
        <f t="shared" si="4"/>
        <v>6.4000000000000001E-2</v>
      </c>
      <c r="AU7">
        <v>5.4146327014988416E-3</v>
      </c>
      <c r="AV7">
        <v>5.8168853215648511E-3</v>
      </c>
      <c r="AY7">
        <v>32525</v>
      </c>
      <c r="AZ7">
        <v>17937</v>
      </c>
      <c r="BE7">
        <f t="shared" si="5"/>
        <v>6.4000000000000001E-2</v>
      </c>
      <c r="BF7">
        <v>1.5722960465236198E-2</v>
      </c>
      <c r="BG7">
        <v>1.3591953519466972E-2</v>
      </c>
      <c r="BJ7">
        <v>29610</v>
      </c>
      <c r="BK7">
        <v>25593</v>
      </c>
      <c r="BP7">
        <f t="shared" si="6"/>
        <v>6.4000000000000001E-2</v>
      </c>
      <c r="BQ7">
        <v>8.9377811151216693E-2</v>
      </c>
      <c r="BR7">
        <v>0.13926206733350766</v>
      </c>
      <c r="BU7">
        <v>15657</v>
      </c>
      <c r="BV7">
        <v>15928</v>
      </c>
    </row>
    <row r="8" spans="1:76" x14ac:dyDescent="0.2">
      <c r="B8">
        <f t="shared" si="0"/>
        <v>1.2800000000000001E-2</v>
      </c>
      <c r="C8">
        <v>1.2680053157374483E-2</v>
      </c>
      <c r="D8">
        <v>7.8305791151885643E-3</v>
      </c>
      <c r="G8">
        <v>13787</v>
      </c>
      <c r="H8">
        <v>10192</v>
      </c>
      <c r="M8">
        <f t="shared" si="1"/>
        <v>1.2800000000000001E-2</v>
      </c>
      <c r="N8">
        <v>1.1060947359424948E-2</v>
      </c>
      <c r="O8">
        <v>9.2425813669325448E-3</v>
      </c>
      <c r="R8">
        <v>7875</v>
      </c>
      <c r="S8">
        <v>9104</v>
      </c>
      <c r="X8">
        <f t="shared" si="2"/>
        <v>1.2800000000000001E-2</v>
      </c>
      <c r="Y8">
        <v>1.0005003335835344E-3</v>
      </c>
      <c r="Z8">
        <v>9.404420770567194E-4</v>
      </c>
      <c r="AC8">
        <v>289726</v>
      </c>
      <c r="AD8">
        <v>276010</v>
      </c>
      <c r="AI8">
        <f t="shared" si="3"/>
        <v>1.2800000000000001E-2</v>
      </c>
      <c r="AJ8">
        <v>8.3346367900576281E-3</v>
      </c>
      <c r="AK8">
        <v>6.7225457608268112E-3</v>
      </c>
      <c r="AN8">
        <v>13806</v>
      </c>
      <c r="AO8">
        <v>14224</v>
      </c>
      <c r="AT8">
        <f t="shared" si="4"/>
        <v>1.2800000000000001E-2</v>
      </c>
      <c r="AU8">
        <v>1.9018072895963312E-3</v>
      </c>
      <c r="AV8">
        <v>2.1022080918701985E-3</v>
      </c>
      <c r="AY8">
        <v>21557</v>
      </c>
      <c r="AZ8">
        <v>18124</v>
      </c>
      <c r="BE8">
        <f t="shared" si="5"/>
        <v>1.2800000000000001E-2</v>
      </c>
      <c r="BF8">
        <v>4.3092715880984032E-3</v>
      </c>
      <c r="BG8">
        <v>3.8072383429540663E-3</v>
      </c>
      <c r="BJ8">
        <v>29839</v>
      </c>
      <c r="BK8">
        <v>23514</v>
      </c>
      <c r="BP8">
        <f t="shared" si="6"/>
        <v>1.2800000000000001E-2</v>
      </c>
      <c r="BQ8">
        <v>3.0149976950883221E-2</v>
      </c>
      <c r="BR8">
        <v>6.1449962316222594E-2</v>
      </c>
      <c r="BU8">
        <v>12057</v>
      </c>
      <c r="BV8">
        <v>13925</v>
      </c>
    </row>
    <row r="9" spans="1:76" x14ac:dyDescent="0.2">
      <c r="B9">
        <v>0</v>
      </c>
      <c r="C9">
        <v>6.4205678029226948E-3</v>
      </c>
      <c r="D9">
        <v>6.5212169902654632E-3</v>
      </c>
      <c r="E9">
        <v>6.0180723255630212E-3</v>
      </c>
      <c r="F9">
        <v>7.2260450917395825E-3</v>
      </c>
      <c r="G9">
        <v>13318</v>
      </c>
      <c r="H9">
        <v>13581</v>
      </c>
      <c r="I9">
        <v>13363</v>
      </c>
      <c r="J9">
        <v>12292</v>
      </c>
      <c r="M9">
        <v>0</v>
      </c>
      <c r="N9">
        <v>8.8389486672043917E-3</v>
      </c>
      <c r="O9">
        <v>8.4354788211015753E-3</v>
      </c>
      <c r="P9">
        <v>7.2260450917395825E-3</v>
      </c>
      <c r="Q9">
        <v>7.0246149369644663E-3</v>
      </c>
      <c r="R9">
        <v>8597</v>
      </c>
      <c r="S9">
        <v>7869</v>
      </c>
      <c r="T9">
        <v>7497</v>
      </c>
      <c r="U9">
        <v>7118</v>
      </c>
      <c r="X9">
        <v>0</v>
      </c>
      <c r="Y9">
        <v>1.1006054440330039E-3</v>
      </c>
      <c r="Z9">
        <v>1.3008457330480696E-3</v>
      </c>
      <c r="AA9">
        <v>1.1006054440330039E-3</v>
      </c>
      <c r="AB9">
        <v>1.0005003335835344E-3</v>
      </c>
      <c r="AC9">
        <v>275573</v>
      </c>
      <c r="AD9">
        <v>261379</v>
      </c>
      <c r="AE9">
        <v>259282</v>
      </c>
      <c r="AF9">
        <v>263759</v>
      </c>
      <c r="AI9">
        <v>0</v>
      </c>
      <c r="AJ9">
        <v>6.7225457608268112E-3</v>
      </c>
      <c r="AK9">
        <v>7.0246149369644663E-3</v>
      </c>
      <c r="AL9">
        <v>8.2338049271035423E-3</v>
      </c>
      <c r="AM9">
        <v>7.5282664207915245E-3</v>
      </c>
      <c r="AN9">
        <v>13753</v>
      </c>
      <c r="AO9">
        <v>15211</v>
      </c>
      <c r="AP9">
        <v>14373</v>
      </c>
      <c r="AQ9">
        <v>14533</v>
      </c>
      <c r="AT9">
        <v>0</v>
      </c>
      <c r="AU9">
        <v>7.6028894640877245E-4</v>
      </c>
      <c r="AV9">
        <v>8.2033638390248095E-4</v>
      </c>
      <c r="AW9">
        <v>1.2007205765188771E-3</v>
      </c>
      <c r="AY9">
        <v>13481</v>
      </c>
      <c r="AZ9">
        <v>10326</v>
      </c>
      <c r="BA9">
        <v>11654</v>
      </c>
      <c r="BE9">
        <v>0</v>
      </c>
      <c r="BF9">
        <v>3.9076248310170765E-3</v>
      </c>
      <c r="BG9">
        <v>3.0045090202987243E-3</v>
      </c>
      <c r="BH9">
        <v>2.8039273327342593E-3</v>
      </c>
      <c r="BJ9">
        <v>28258</v>
      </c>
      <c r="BK9">
        <v>22136</v>
      </c>
      <c r="BL9">
        <v>29539</v>
      </c>
      <c r="BP9">
        <v>0</v>
      </c>
      <c r="BQ9">
        <v>4.4788182790134003E-2</v>
      </c>
      <c r="BR9">
        <v>1.999864650668997E-2</v>
      </c>
      <c r="BS9">
        <v>1.7858518301313193E-2</v>
      </c>
      <c r="BU9">
        <v>13260</v>
      </c>
      <c r="BV9">
        <v>12118</v>
      </c>
      <c r="BW9">
        <v>11200</v>
      </c>
      <c r="BX9" t="s">
        <v>28</v>
      </c>
    </row>
    <row r="11" spans="1:76" x14ac:dyDescent="0.2">
      <c r="B11" s="2" t="s">
        <v>1</v>
      </c>
      <c r="M11" s="2" t="s">
        <v>1</v>
      </c>
      <c r="X11" s="2" t="s">
        <v>1</v>
      </c>
      <c r="AI11" s="2" t="s">
        <v>1</v>
      </c>
      <c r="AT11" s="2" t="s">
        <v>1</v>
      </c>
      <c r="BE11" s="2" t="s">
        <v>1</v>
      </c>
      <c r="BP11" s="2" t="s">
        <v>1</v>
      </c>
    </row>
    <row r="12" spans="1:76" x14ac:dyDescent="0.2">
      <c r="B12">
        <v>1</v>
      </c>
      <c r="C12">
        <v>5.5151806881101112E-3</v>
      </c>
      <c r="D12">
        <v>1.4009809156281003E-3</v>
      </c>
      <c r="G12">
        <v>12037</v>
      </c>
      <c r="H12">
        <v>9497</v>
      </c>
      <c r="M12">
        <v>1</v>
      </c>
      <c r="N12">
        <v>6.1186810081771768E-3</v>
      </c>
      <c r="O12">
        <v>6.3199287448193475E-3</v>
      </c>
      <c r="R12">
        <v>7541</v>
      </c>
      <c r="S12">
        <v>7907</v>
      </c>
      <c r="X12">
        <v>1</v>
      </c>
      <c r="Y12">
        <v>6.5021134158635592E-4</v>
      </c>
      <c r="Z12">
        <v>1.1006054440330039E-3</v>
      </c>
      <c r="AC12">
        <v>265297</v>
      </c>
      <c r="AD12">
        <v>255815</v>
      </c>
      <c r="AI12">
        <v>1</v>
      </c>
      <c r="AJ12">
        <v>5.9174737640376226E-3</v>
      </c>
      <c r="AK12">
        <v>6.4205678029226948E-3</v>
      </c>
      <c r="AN12">
        <v>14416</v>
      </c>
      <c r="AO12">
        <v>14260</v>
      </c>
      <c r="AT12">
        <v>1</v>
      </c>
      <c r="AU12">
        <v>1.7014466397575704E-3</v>
      </c>
      <c r="AV12">
        <v>2.6033858701149278E-3</v>
      </c>
      <c r="AY12">
        <v>9875</v>
      </c>
      <c r="AZ12">
        <v>23915</v>
      </c>
      <c r="BE12">
        <v>1</v>
      </c>
      <c r="BF12">
        <v>1.4301784710859645E-2</v>
      </c>
      <c r="BG12">
        <v>1.3896105192111352E-2</v>
      </c>
      <c r="BJ12">
        <v>27027</v>
      </c>
      <c r="BK12">
        <v>27740</v>
      </c>
      <c r="BP12">
        <v>1</v>
      </c>
      <c r="BQ12">
        <v>1.7858518301313193E-2</v>
      </c>
      <c r="BR12">
        <v>2.0100671707002912E-2</v>
      </c>
      <c r="BU12">
        <v>11200</v>
      </c>
      <c r="BV12">
        <v>14441</v>
      </c>
    </row>
    <row r="13" spans="1:76" x14ac:dyDescent="0.2">
      <c r="B13">
        <v>2</v>
      </c>
      <c r="C13">
        <v>7.1253249425886267E-3</v>
      </c>
      <c r="D13">
        <v>2.904213147389827E-3</v>
      </c>
      <c r="G13">
        <v>11725</v>
      </c>
      <c r="H13">
        <v>10446</v>
      </c>
      <c r="M13">
        <v>2</v>
      </c>
      <c r="N13">
        <v>8.9398415694742963E-3</v>
      </c>
      <c r="O13">
        <v>1.1060947359424948E-2</v>
      </c>
      <c r="R13">
        <v>9054</v>
      </c>
      <c r="S13">
        <v>8995</v>
      </c>
      <c r="X13">
        <v>2</v>
      </c>
      <c r="Y13">
        <v>1.0005003335835344E-3</v>
      </c>
      <c r="Z13">
        <v>9.3043271830613866E-4</v>
      </c>
      <c r="AC13">
        <v>253580</v>
      </c>
      <c r="AD13">
        <v>262149</v>
      </c>
      <c r="AI13">
        <v>2</v>
      </c>
      <c r="AJ13">
        <v>6.5212169902654632E-3</v>
      </c>
      <c r="AK13">
        <v>7.7297980619412685E-3</v>
      </c>
      <c r="AN13">
        <v>14361</v>
      </c>
      <c r="AO13">
        <v>15332</v>
      </c>
      <c r="AT13">
        <v>2</v>
      </c>
      <c r="AU13">
        <v>1.8016219466282088E-3</v>
      </c>
      <c r="AV13">
        <v>2.0020026706730793E-3</v>
      </c>
      <c r="AY13">
        <v>16524</v>
      </c>
      <c r="AZ13">
        <v>28335</v>
      </c>
      <c r="BE13">
        <v>2</v>
      </c>
      <c r="BF13">
        <v>3.8740828316430595E-2</v>
      </c>
      <c r="BG13">
        <v>4.0405414635038862E-2</v>
      </c>
      <c r="BJ13">
        <v>26996</v>
      </c>
      <c r="BK13">
        <v>27783</v>
      </c>
      <c r="BP13">
        <v>2</v>
      </c>
      <c r="BQ13">
        <v>1.0353412079491597E-2</v>
      </c>
      <c r="BR13">
        <v>1.3896105192111352E-2</v>
      </c>
      <c r="BU13">
        <v>12556</v>
      </c>
      <c r="BV13">
        <v>12061</v>
      </c>
    </row>
    <row r="14" spans="1:76" x14ac:dyDescent="0.2">
      <c r="B14">
        <v>3</v>
      </c>
      <c r="C14">
        <v>8.7380659432852986E-3</v>
      </c>
      <c r="D14">
        <v>5.2135670528874337E-3</v>
      </c>
      <c r="G14">
        <v>11982</v>
      </c>
      <c r="H14">
        <v>13195</v>
      </c>
      <c r="M14">
        <v>3</v>
      </c>
      <c r="N14">
        <v>1.2072581234269249E-2</v>
      </c>
      <c r="O14">
        <v>1.2882625831013718E-2</v>
      </c>
      <c r="R14">
        <v>9867</v>
      </c>
      <c r="S14">
        <v>10726</v>
      </c>
      <c r="X14">
        <v>3</v>
      </c>
      <c r="Y14">
        <v>6.5021134158635592E-4</v>
      </c>
      <c r="Z14">
        <v>6.3019853338842175E-4</v>
      </c>
      <c r="AC14">
        <v>274025</v>
      </c>
      <c r="AD14">
        <v>261379</v>
      </c>
      <c r="AI14">
        <v>3</v>
      </c>
      <c r="AJ14">
        <v>8.5363310222863354E-3</v>
      </c>
      <c r="AK14">
        <v>1.1465478109278096E-2</v>
      </c>
      <c r="AN14">
        <v>14040</v>
      </c>
      <c r="AO14">
        <v>17282</v>
      </c>
      <c r="AT14">
        <v>3</v>
      </c>
      <c r="AU14">
        <v>3.3054570087264813E-3</v>
      </c>
      <c r="AV14">
        <v>1.8016219466282088E-3</v>
      </c>
      <c r="AY14">
        <v>29918</v>
      </c>
      <c r="AZ14">
        <v>11432</v>
      </c>
      <c r="BE14">
        <v>3</v>
      </c>
      <c r="BF14">
        <v>1.4403230310743743E-2</v>
      </c>
      <c r="BG14">
        <v>8.132983230188991E-3</v>
      </c>
      <c r="BJ14">
        <v>29726</v>
      </c>
      <c r="BK14">
        <v>29240</v>
      </c>
      <c r="BP14">
        <v>3</v>
      </c>
      <c r="BQ14">
        <v>1.1162064706191918E-2</v>
      </c>
      <c r="BR14">
        <v>4.856019061537703E-2</v>
      </c>
      <c r="BU14">
        <v>11919</v>
      </c>
      <c r="BV14">
        <v>13629</v>
      </c>
    </row>
    <row r="15" spans="1:76" x14ac:dyDescent="0.2">
      <c r="B15">
        <v>4</v>
      </c>
      <c r="C15">
        <v>5.8168853215648511E-3</v>
      </c>
      <c r="D15">
        <v>5.4146327014988416E-3</v>
      </c>
      <c r="G15">
        <v>12485</v>
      </c>
      <c r="H15">
        <v>11081</v>
      </c>
      <c r="M15">
        <v>4</v>
      </c>
      <c r="N15">
        <v>1.4200349401141401E-2</v>
      </c>
      <c r="O15">
        <v>1.2072581234269249E-2</v>
      </c>
      <c r="R15">
        <v>9432</v>
      </c>
      <c r="S15">
        <v>10023</v>
      </c>
      <c r="X15">
        <v>4</v>
      </c>
      <c r="Y15">
        <v>5.601568585632689E-4</v>
      </c>
      <c r="Z15">
        <v>6.2019227947957977E-4</v>
      </c>
      <c r="AC15">
        <v>265096</v>
      </c>
      <c r="AD15">
        <v>259368</v>
      </c>
      <c r="AI15">
        <v>4</v>
      </c>
      <c r="AJ15">
        <v>5.6157387856357452E-3</v>
      </c>
      <c r="AK15">
        <v>5.7163069961091917E-3</v>
      </c>
      <c r="AN15">
        <v>14191</v>
      </c>
      <c r="AO15">
        <v>14329</v>
      </c>
      <c r="AT15">
        <v>4</v>
      </c>
      <c r="AU15">
        <v>6.6218763088869695E-3</v>
      </c>
      <c r="AV15">
        <v>5.7163069961091917E-3</v>
      </c>
      <c r="AY15">
        <v>34134</v>
      </c>
      <c r="AZ15">
        <v>24549</v>
      </c>
      <c r="BE15">
        <v>4</v>
      </c>
      <c r="BF15">
        <v>5.045154349609822E-2</v>
      </c>
      <c r="BG15">
        <v>0.11428914640212766</v>
      </c>
      <c r="BJ15">
        <v>37074</v>
      </c>
      <c r="BK15">
        <v>38002</v>
      </c>
      <c r="BP15">
        <v>4</v>
      </c>
      <c r="BQ15">
        <v>3.915671520119391E-2</v>
      </c>
      <c r="BR15">
        <v>3.4798505542695542E-2</v>
      </c>
      <c r="BU15">
        <v>13312</v>
      </c>
      <c r="BV15">
        <v>14452</v>
      </c>
    </row>
    <row r="16" spans="1:76" x14ac:dyDescent="0.2">
      <c r="B16">
        <v>5</v>
      </c>
      <c r="C16">
        <v>0.11316869810563798</v>
      </c>
      <c r="D16">
        <v>8.0667903067454819E-2</v>
      </c>
      <c r="G16">
        <v>14449</v>
      </c>
      <c r="H16">
        <v>14213</v>
      </c>
      <c r="M16">
        <v>5</v>
      </c>
      <c r="N16">
        <v>9.8936747860023627E-2</v>
      </c>
      <c r="O16">
        <v>8.6647806725672169E-2</v>
      </c>
      <c r="R16">
        <v>9715</v>
      </c>
      <c r="S16">
        <v>9205</v>
      </c>
      <c r="X16">
        <v>5</v>
      </c>
      <c r="Y16">
        <v>7.8030435827659839E-4</v>
      </c>
      <c r="Z16">
        <v>9.3043271830613866E-4</v>
      </c>
      <c r="AC16">
        <v>261004</v>
      </c>
      <c r="AD16">
        <v>266152</v>
      </c>
      <c r="AI16">
        <v>5</v>
      </c>
      <c r="AJ16">
        <v>6.3199287448193475E-3</v>
      </c>
      <c r="AK16">
        <v>6.8232253481255367E-3</v>
      </c>
      <c r="AN16">
        <v>14165</v>
      </c>
      <c r="AO16">
        <v>14618</v>
      </c>
      <c r="AT16">
        <v>5</v>
      </c>
      <c r="AU16">
        <v>1.0384583658483624</v>
      </c>
      <c r="AV16">
        <v>1.0671136216087385</v>
      </c>
      <c r="AY16">
        <v>51950</v>
      </c>
      <c r="AZ16">
        <v>38261</v>
      </c>
      <c r="BE16">
        <v>5</v>
      </c>
      <c r="BF16">
        <v>0.27180872329549077</v>
      </c>
      <c r="BG16">
        <v>0.40047756659712541</v>
      </c>
      <c r="BJ16">
        <v>43500</v>
      </c>
      <c r="BK16">
        <v>44209</v>
      </c>
      <c r="BP16">
        <v>5</v>
      </c>
      <c r="BQ16">
        <v>3.1593871591178629E-2</v>
      </c>
      <c r="BR16">
        <v>5.3717282505987868E-2</v>
      </c>
      <c r="BU16">
        <v>13142</v>
      </c>
      <c r="BV16">
        <v>15192</v>
      </c>
    </row>
    <row r="17" spans="2:74" x14ac:dyDescent="0.2">
      <c r="B17">
        <v>6</v>
      </c>
      <c r="C17">
        <v>9.3435150031524663E-3</v>
      </c>
      <c r="D17">
        <v>5.9174737640376226E-3</v>
      </c>
      <c r="G17">
        <v>11038</v>
      </c>
      <c r="H17">
        <v>11807</v>
      </c>
      <c r="M17">
        <v>6</v>
      </c>
      <c r="N17">
        <v>5.3717282505987868E-2</v>
      </c>
      <c r="O17">
        <v>5.7417270869950646E-2</v>
      </c>
      <c r="R17">
        <v>9824</v>
      </c>
      <c r="S17">
        <v>10992</v>
      </c>
      <c r="X17">
        <v>6</v>
      </c>
      <c r="Y17">
        <v>7.3026657974337888E-4</v>
      </c>
      <c r="Z17">
        <v>6.3019853338842175E-4</v>
      </c>
      <c r="AC17">
        <v>271584</v>
      </c>
      <c r="AD17">
        <v>254251</v>
      </c>
      <c r="AI17">
        <v>6</v>
      </c>
      <c r="AJ17">
        <v>7.5282664207915245E-3</v>
      </c>
      <c r="AK17">
        <v>7.2260450917395825E-3</v>
      </c>
      <c r="AN17">
        <v>14900</v>
      </c>
      <c r="AO17">
        <v>15814</v>
      </c>
      <c r="AT17">
        <v>6</v>
      </c>
      <c r="AU17">
        <v>5.6252941550798408E-2</v>
      </c>
      <c r="AV17">
        <v>4.5206592838079228E-2</v>
      </c>
      <c r="AY17">
        <v>29998</v>
      </c>
      <c r="AZ17">
        <v>18391</v>
      </c>
      <c r="BE17">
        <v>6</v>
      </c>
      <c r="BF17">
        <v>2.3538783873815965</v>
      </c>
      <c r="BG17">
        <v>1.8140050781753752</v>
      </c>
      <c r="BJ17">
        <v>195372</v>
      </c>
      <c r="BK17">
        <v>242008</v>
      </c>
      <c r="BP17">
        <v>6</v>
      </c>
      <c r="BQ17">
        <v>7.3646540168298483E-2</v>
      </c>
      <c r="BR17">
        <v>4.8980182221718613E-2</v>
      </c>
      <c r="BU17">
        <v>14007</v>
      </c>
      <c r="BV17">
        <v>13755</v>
      </c>
    </row>
    <row r="18" spans="2:74" x14ac:dyDescent="0.2">
      <c r="B18">
        <v>7</v>
      </c>
      <c r="C18">
        <v>5.8168853215648511E-3</v>
      </c>
      <c r="D18">
        <v>6.9239150728241982E-3</v>
      </c>
      <c r="G18">
        <v>13059</v>
      </c>
      <c r="H18">
        <v>12632</v>
      </c>
      <c r="M18">
        <v>7</v>
      </c>
      <c r="N18">
        <v>3.3039854078200155E-2</v>
      </c>
      <c r="O18">
        <v>3.5005609198815291E-2</v>
      </c>
      <c r="R18">
        <v>12232</v>
      </c>
      <c r="S18">
        <v>11486</v>
      </c>
      <c r="X18">
        <v>7</v>
      </c>
      <c r="Y18">
        <v>9.404420770567194E-4</v>
      </c>
      <c r="Z18">
        <v>7.6028894640877245E-4</v>
      </c>
      <c r="AC18">
        <v>255225</v>
      </c>
      <c r="AD18">
        <v>260980</v>
      </c>
      <c r="AI18">
        <v>7</v>
      </c>
      <c r="AJ18">
        <v>6.4205678029226948E-3</v>
      </c>
      <c r="AK18">
        <v>5.7163069961091917E-3</v>
      </c>
      <c r="AN18">
        <v>14875</v>
      </c>
      <c r="AO18">
        <v>14349</v>
      </c>
      <c r="AT18">
        <v>7</v>
      </c>
      <c r="AU18">
        <v>2.3268626939354331E-2</v>
      </c>
      <c r="AV18">
        <v>1.7349638335112993E-2</v>
      </c>
      <c r="AY18">
        <v>17141</v>
      </c>
      <c r="AZ18">
        <v>16686</v>
      </c>
      <c r="BE18">
        <v>7</v>
      </c>
      <c r="BF18">
        <v>1.1162064706191918E-2</v>
      </c>
      <c r="BG18">
        <v>1.1870172570487445E-2</v>
      </c>
      <c r="BJ18">
        <v>30520</v>
      </c>
      <c r="BK18">
        <v>32452</v>
      </c>
      <c r="BP18">
        <v>7</v>
      </c>
      <c r="BQ18">
        <v>4.3220702454563435E-2</v>
      </c>
      <c r="BR18">
        <v>7.3754188588661854E-2</v>
      </c>
      <c r="BU18">
        <v>12490</v>
      </c>
      <c r="BV18">
        <v>15435</v>
      </c>
    </row>
    <row r="19" spans="2:74" x14ac:dyDescent="0.2">
      <c r="B19">
        <v>8</v>
      </c>
      <c r="C19">
        <v>9.1416579172833873E-3</v>
      </c>
      <c r="D19">
        <v>2.3370986323240202E-2</v>
      </c>
      <c r="G19">
        <v>12592</v>
      </c>
      <c r="H19">
        <v>12456</v>
      </c>
      <c r="M19">
        <v>8</v>
      </c>
      <c r="N19">
        <v>0.11878353598996698</v>
      </c>
      <c r="O19">
        <v>0.12897038129696006</v>
      </c>
      <c r="R19">
        <v>12219</v>
      </c>
      <c r="S19">
        <v>12568</v>
      </c>
      <c r="X19">
        <v>8</v>
      </c>
      <c r="Y19">
        <v>4.8011523687731212E-4</v>
      </c>
      <c r="Z19">
        <v>7.8030435827659839E-4</v>
      </c>
      <c r="AC19">
        <v>260503</v>
      </c>
      <c r="AD19">
        <v>260113</v>
      </c>
      <c r="AI19">
        <v>8</v>
      </c>
      <c r="AJ19">
        <v>8.9398415694742963E-3</v>
      </c>
      <c r="AK19">
        <v>6.3199287448193475E-3</v>
      </c>
      <c r="AN19">
        <v>16337</v>
      </c>
      <c r="AO19">
        <v>14308</v>
      </c>
      <c r="AT19">
        <v>8</v>
      </c>
      <c r="AU19">
        <v>1.9038089730366778</v>
      </c>
      <c r="AV19">
        <v>2.5902671654458271</v>
      </c>
      <c r="AY19">
        <v>51693</v>
      </c>
      <c r="AZ19">
        <v>81970</v>
      </c>
      <c r="BE19">
        <v>8</v>
      </c>
      <c r="BF19">
        <v>1.8708026765685077</v>
      </c>
      <c r="BG19">
        <v>2.7030626595911702</v>
      </c>
      <c r="BJ19">
        <v>250914</v>
      </c>
      <c r="BK19">
        <v>1210000</v>
      </c>
      <c r="BP19">
        <v>8</v>
      </c>
      <c r="BQ19">
        <v>5.5829884960670588E-2</v>
      </c>
      <c r="BR19">
        <v>2.6446650014983503E-2</v>
      </c>
      <c r="BU19">
        <v>15511</v>
      </c>
      <c r="BV19">
        <v>14366</v>
      </c>
    </row>
    <row r="20" spans="2:74" x14ac:dyDescent="0.2">
      <c r="B20">
        <v>9</v>
      </c>
      <c r="C20">
        <v>2.1223636451626688E-2</v>
      </c>
      <c r="D20">
        <v>1.2275030875612578E-2</v>
      </c>
      <c r="G20">
        <v>10949</v>
      </c>
      <c r="H20">
        <v>11096</v>
      </c>
      <c r="M20">
        <v>9</v>
      </c>
      <c r="N20">
        <v>7.7097050384966948E-2</v>
      </c>
      <c r="O20">
        <v>5.4033888492485624E-2</v>
      </c>
      <c r="R20">
        <v>12035</v>
      </c>
      <c r="S20">
        <v>11543</v>
      </c>
      <c r="X20">
        <v>9</v>
      </c>
      <c r="Y20">
        <v>9.8048051396142045E-4</v>
      </c>
      <c r="Z20">
        <v>4.8011523687731212E-4</v>
      </c>
      <c r="AC20">
        <v>275430</v>
      </c>
      <c r="AD20">
        <v>254775</v>
      </c>
      <c r="AI20">
        <v>9</v>
      </c>
      <c r="AJ20">
        <v>6.6218763088869695E-3</v>
      </c>
      <c r="AK20">
        <v>8.2338049271035423E-3</v>
      </c>
      <c r="AN20">
        <v>14437</v>
      </c>
      <c r="AO20">
        <v>14815</v>
      </c>
      <c r="AT20">
        <v>9</v>
      </c>
      <c r="AU20">
        <v>5.9174737640376226E-3</v>
      </c>
      <c r="AV20">
        <v>5.8168853215648511E-3</v>
      </c>
      <c r="AY20">
        <v>20000</v>
      </c>
      <c r="AZ20">
        <v>18407</v>
      </c>
      <c r="BE20">
        <v>9</v>
      </c>
      <c r="BF20">
        <v>1.2882625831013718E-2</v>
      </c>
      <c r="BG20">
        <v>1.1870172570487445E-2</v>
      </c>
      <c r="BJ20">
        <v>33524</v>
      </c>
      <c r="BK20">
        <v>27832</v>
      </c>
      <c r="BP20">
        <v>9</v>
      </c>
      <c r="BQ20">
        <v>0.15198635699788171</v>
      </c>
      <c r="BR20">
        <v>0.12216763397420753</v>
      </c>
      <c r="BU20">
        <v>14243</v>
      </c>
      <c r="BV20">
        <v>12135</v>
      </c>
    </row>
    <row r="21" spans="2:74" x14ac:dyDescent="0.2">
      <c r="B21">
        <v>10</v>
      </c>
      <c r="C21">
        <v>2.1938907518753964E-2</v>
      </c>
      <c r="D21">
        <v>2.4497631600400235E-2</v>
      </c>
      <c r="G21">
        <v>12468</v>
      </c>
      <c r="H21">
        <v>12473</v>
      </c>
      <c r="M21">
        <v>10</v>
      </c>
      <c r="N21">
        <v>7.990938322830192E-2</v>
      </c>
      <c r="O21">
        <v>5.7840999689849938E-2</v>
      </c>
      <c r="R21">
        <v>12679</v>
      </c>
      <c r="S21">
        <v>12516</v>
      </c>
      <c r="X21">
        <v>10</v>
      </c>
      <c r="Y21">
        <v>1.1006054440330039E-3</v>
      </c>
      <c r="Z21">
        <v>1.6012813669738792E-3</v>
      </c>
      <c r="AC21">
        <v>277711</v>
      </c>
      <c r="AD21">
        <v>270186</v>
      </c>
      <c r="AI21">
        <v>10</v>
      </c>
      <c r="AJ21">
        <v>1.3287894326935407E-2</v>
      </c>
      <c r="AK21">
        <v>1.826580880689254E-2</v>
      </c>
      <c r="AN21">
        <v>17273</v>
      </c>
      <c r="AO21">
        <v>18267</v>
      </c>
      <c r="AT21">
        <v>10</v>
      </c>
      <c r="AU21">
        <v>8.6371933956635883E-3</v>
      </c>
      <c r="AV21">
        <v>2.3026490626755578E-3</v>
      </c>
      <c r="AY21">
        <v>25327</v>
      </c>
      <c r="AZ21">
        <v>15221</v>
      </c>
      <c r="BE21">
        <v>10</v>
      </c>
      <c r="BF21">
        <v>9.8483360548144057E-3</v>
      </c>
      <c r="BG21">
        <v>9.1416579172833873E-3</v>
      </c>
      <c r="BJ21">
        <v>29844</v>
      </c>
      <c r="BK21">
        <v>31562</v>
      </c>
      <c r="BP21">
        <v>10</v>
      </c>
      <c r="BQ21">
        <v>5.4984308332759503E-2</v>
      </c>
      <c r="BR21">
        <v>2.8296599155113789E-2</v>
      </c>
      <c r="BU21">
        <v>13531</v>
      </c>
      <c r="BV21">
        <v>11996</v>
      </c>
    </row>
    <row r="22" spans="2:74" x14ac:dyDescent="0.2">
      <c r="B22">
        <v>11</v>
      </c>
      <c r="C22">
        <v>6.4205678029226948E-3</v>
      </c>
      <c r="D22">
        <v>4.7110797301192229E-3</v>
      </c>
      <c r="G22">
        <v>11726</v>
      </c>
      <c r="H22">
        <v>11098</v>
      </c>
      <c r="M22">
        <v>11</v>
      </c>
      <c r="N22">
        <v>1.2477521511112579E-2</v>
      </c>
      <c r="O22">
        <v>1.4403230310743743E-2</v>
      </c>
      <c r="R22">
        <v>10418</v>
      </c>
      <c r="S22">
        <v>9939</v>
      </c>
      <c r="X22">
        <v>11</v>
      </c>
      <c r="Y22">
        <v>8.5036145483894114E-4</v>
      </c>
      <c r="Z22">
        <v>7.402739351496404E-4</v>
      </c>
      <c r="AC22">
        <v>272295</v>
      </c>
      <c r="AD22">
        <v>263696</v>
      </c>
      <c r="AI22">
        <v>11</v>
      </c>
      <c r="AJ22">
        <v>6.1186810081771768E-3</v>
      </c>
      <c r="AK22">
        <v>6.1186810081771768E-3</v>
      </c>
      <c r="AN22">
        <v>13974</v>
      </c>
      <c r="AO22">
        <v>14827</v>
      </c>
      <c r="AT22">
        <v>11</v>
      </c>
      <c r="AU22">
        <v>5.6782014098984535E-2</v>
      </c>
      <c r="AV22">
        <v>2.1121496622111418E-2</v>
      </c>
      <c r="AY22">
        <v>23731</v>
      </c>
      <c r="AZ22">
        <v>21387</v>
      </c>
      <c r="BE22">
        <v>11</v>
      </c>
      <c r="BF22">
        <v>0.14387037041970191</v>
      </c>
      <c r="BG22">
        <v>8.7193211702377371E-2</v>
      </c>
      <c r="BJ22">
        <v>34263</v>
      </c>
      <c r="BK22">
        <v>28117</v>
      </c>
      <c r="BP22">
        <v>11</v>
      </c>
      <c r="BQ22">
        <v>6.9350078134793172E-2</v>
      </c>
      <c r="BR22">
        <v>7.3216062331259102E-2</v>
      </c>
      <c r="BU22">
        <v>12516</v>
      </c>
      <c r="BV22">
        <v>13188</v>
      </c>
    </row>
    <row r="23" spans="2:74" x14ac:dyDescent="0.2">
      <c r="B23">
        <v>12</v>
      </c>
      <c r="C23">
        <v>7.2260450917395825E-3</v>
      </c>
      <c r="D23">
        <v>5.9174737640376226E-3</v>
      </c>
      <c r="G23">
        <v>12342</v>
      </c>
      <c r="H23">
        <v>11947</v>
      </c>
      <c r="M23">
        <v>12</v>
      </c>
      <c r="N23">
        <v>1.2275030875612578E-2</v>
      </c>
      <c r="O23">
        <v>1.0050335853501451E-2</v>
      </c>
      <c r="R23">
        <v>8750</v>
      </c>
      <c r="S23">
        <v>9525</v>
      </c>
      <c r="X23">
        <v>12</v>
      </c>
      <c r="Y23">
        <v>6.2019227947957977E-4</v>
      </c>
      <c r="Z23">
        <v>4.5010128038520567E-4</v>
      </c>
      <c r="AC23">
        <v>258580</v>
      </c>
      <c r="AD23">
        <v>265214</v>
      </c>
      <c r="AI23">
        <v>12</v>
      </c>
      <c r="AJ23">
        <v>6.9239150728241982E-3</v>
      </c>
      <c r="AK23">
        <v>7.2260450917395825E-3</v>
      </c>
      <c r="AN23">
        <v>14424</v>
      </c>
      <c r="AO23">
        <v>15446</v>
      </c>
      <c r="AT23">
        <v>12</v>
      </c>
      <c r="AU23">
        <v>4.5206592838079228E-2</v>
      </c>
      <c r="AV23">
        <v>4.9820694983955922E-2</v>
      </c>
      <c r="AY23">
        <v>24629</v>
      </c>
      <c r="AZ23">
        <v>24015</v>
      </c>
      <c r="BE23">
        <v>12</v>
      </c>
      <c r="BF23">
        <v>1.6637641153023248E-2</v>
      </c>
      <c r="BG23">
        <v>1.8062142818408518E-2</v>
      </c>
      <c r="BJ23">
        <v>27442</v>
      </c>
      <c r="BK23">
        <v>24561</v>
      </c>
      <c r="BP23">
        <v>12</v>
      </c>
      <c r="BQ23">
        <v>3.7598030415318485E-2</v>
      </c>
      <c r="BR23">
        <v>4.3429557927335979E-2</v>
      </c>
      <c r="BU23">
        <v>12744</v>
      </c>
      <c r="BV23">
        <v>12676</v>
      </c>
    </row>
    <row r="24" spans="2:74" x14ac:dyDescent="0.2">
      <c r="B24">
        <v>13</v>
      </c>
      <c r="C24">
        <v>1.3389237119016052E-2</v>
      </c>
      <c r="D24">
        <v>1.6434306463424773E-2</v>
      </c>
      <c r="G24">
        <v>13699</v>
      </c>
      <c r="H24">
        <v>13564</v>
      </c>
      <c r="M24">
        <v>13</v>
      </c>
      <c r="N24">
        <v>1.8469516283661322E-2</v>
      </c>
      <c r="O24">
        <v>2.1836694609174406E-2</v>
      </c>
      <c r="R24">
        <v>12097</v>
      </c>
      <c r="S24">
        <v>11514</v>
      </c>
      <c r="X24">
        <v>13</v>
      </c>
      <c r="Y24">
        <v>5.0012504168224286E-4</v>
      </c>
      <c r="Z24">
        <v>4.1008407298075486E-4</v>
      </c>
      <c r="AC24">
        <v>254872</v>
      </c>
      <c r="AD24">
        <v>276214</v>
      </c>
      <c r="AI24">
        <v>13</v>
      </c>
      <c r="AJ24">
        <v>4.7110797301192229E-3</v>
      </c>
      <c r="AK24">
        <v>5.8168853215648511E-3</v>
      </c>
      <c r="AN24">
        <v>14124</v>
      </c>
      <c r="AO24">
        <v>13655</v>
      </c>
      <c r="AT24">
        <v>13</v>
      </c>
      <c r="AU24">
        <v>2.503130218118477E-3</v>
      </c>
      <c r="AV24">
        <v>1.7014466397575704E-3</v>
      </c>
      <c r="AY24">
        <v>31538</v>
      </c>
      <c r="AZ24">
        <v>27091</v>
      </c>
      <c r="BE24">
        <v>13</v>
      </c>
      <c r="BF24">
        <v>2.8193734370781983E-2</v>
      </c>
      <c r="BG24">
        <v>2.8193734370781983E-2</v>
      </c>
      <c r="BJ24">
        <v>27412</v>
      </c>
      <c r="BK24">
        <v>25986</v>
      </c>
      <c r="BP24">
        <v>13</v>
      </c>
      <c r="BQ24">
        <v>0.11204950380862289</v>
      </c>
      <c r="BR24">
        <v>0.11093156070728166</v>
      </c>
      <c r="BU24">
        <v>13769</v>
      </c>
      <c r="BV24">
        <v>13021</v>
      </c>
    </row>
    <row r="25" spans="2:74" x14ac:dyDescent="0.2">
      <c r="B25">
        <v>14</v>
      </c>
      <c r="C25">
        <v>1.3490590182499144E-2</v>
      </c>
      <c r="D25">
        <v>1.4606152389362114E-2</v>
      </c>
      <c r="G25">
        <v>13083</v>
      </c>
      <c r="H25">
        <v>12450</v>
      </c>
      <c r="M25">
        <v>14</v>
      </c>
      <c r="N25">
        <v>1.633265462089761E-2</v>
      </c>
      <c r="O25">
        <v>1.9182819416773987E-2</v>
      </c>
      <c r="R25">
        <v>11563</v>
      </c>
      <c r="S25">
        <v>11252</v>
      </c>
      <c r="X25">
        <v>14</v>
      </c>
      <c r="Y25">
        <v>9.6046109512446074E-4</v>
      </c>
      <c r="Z25">
        <v>1.1006054440330039E-3</v>
      </c>
      <c r="AC25">
        <v>270315</v>
      </c>
      <c r="AD25">
        <v>271953</v>
      </c>
      <c r="AI25">
        <v>14</v>
      </c>
      <c r="AJ25">
        <v>6.7225457608268112E-3</v>
      </c>
      <c r="AK25">
        <v>8.132983230188991E-3</v>
      </c>
      <c r="AN25">
        <v>15318</v>
      </c>
      <c r="AO25">
        <v>15689</v>
      </c>
      <c r="AT25">
        <v>14</v>
      </c>
      <c r="AU25">
        <v>0.31334181923235843</v>
      </c>
      <c r="AV25">
        <v>0.28901629546491758</v>
      </c>
      <c r="AY25">
        <v>40516</v>
      </c>
      <c r="AZ25">
        <v>39206</v>
      </c>
      <c r="BE25">
        <v>14</v>
      </c>
      <c r="BF25">
        <v>5.3822806697506657E-2</v>
      </c>
      <c r="BG25">
        <v>5.045154349609822E-2</v>
      </c>
      <c r="BJ25">
        <v>36214</v>
      </c>
      <c r="BK25">
        <v>36730</v>
      </c>
      <c r="BP25">
        <v>14</v>
      </c>
      <c r="BQ25">
        <v>8.3925234937761287E-2</v>
      </c>
      <c r="BR25">
        <v>0.10758521067993743</v>
      </c>
      <c r="BU25">
        <v>12773</v>
      </c>
      <c r="BV25">
        <v>14650</v>
      </c>
    </row>
    <row r="26" spans="2:74" x14ac:dyDescent="0.2">
      <c r="B26">
        <v>15</v>
      </c>
      <c r="C26">
        <v>1.3287894326935407E-2</v>
      </c>
      <c r="D26">
        <v>2.3882940463332003E-2</v>
      </c>
      <c r="G26">
        <v>11760</v>
      </c>
      <c r="H26">
        <v>11906</v>
      </c>
      <c r="M26">
        <v>15</v>
      </c>
      <c r="N26">
        <v>0.12783337150988489</v>
      </c>
      <c r="O26">
        <v>0.20948722486672405</v>
      </c>
      <c r="R26">
        <v>12188</v>
      </c>
      <c r="S26">
        <v>12901</v>
      </c>
      <c r="X26">
        <v>15</v>
      </c>
      <c r="Y26">
        <v>1.3008457330480696E-3</v>
      </c>
      <c r="Z26">
        <v>7.7029660226565191E-4</v>
      </c>
      <c r="AC26">
        <v>260877</v>
      </c>
      <c r="AD26">
        <v>268474</v>
      </c>
      <c r="AI26">
        <v>15</v>
      </c>
      <c r="AJ26">
        <v>8.3346367900576281E-3</v>
      </c>
      <c r="AK26">
        <v>9.6463770518054499E-3</v>
      </c>
      <c r="AN26">
        <v>15269</v>
      </c>
      <c r="AO26">
        <v>15671</v>
      </c>
      <c r="AT26">
        <v>15</v>
      </c>
      <c r="AU26">
        <v>1.343234871659444</v>
      </c>
      <c r="AV26">
        <v>1.0526833567797096</v>
      </c>
      <c r="AY26">
        <v>71355</v>
      </c>
      <c r="AZ26">
        <v>49387</v>
      </c>
      <c r="BE26">
        <v>15</v>
      </c>
      <c r="BF26">
        <v>2.2633643798407634</v>
      </c>
      <c r="BG26">
        <v>2.0479428746204649</v>
      </c>
      <c r="BJ26">
        <v>110067</v>
      </c>
      <c r="BK26">
        <v>100477</v>
      </c>
      <c r="BP26">
        <v>15</v>
      </c>
      <c r="BQ26">
        <v>2.7062919549689073E-2</v>
      </c>
      <c r="BR26">
        <v>5.1819748729796472E-2</v>
      </c>
      <c r="BU26">
        <v>13149</v>
      </c>
      <c r="BV26">
        <v>14133</v>
      </c>
    </row>
    <row r="38" spans="23:30" x14ac:dyDescent="0.2">
      <c r="X38" s="3" t="s">
        <v>24</v>
      </c>
      <c r="AC38" t="s">
        <v>25</v>
      </c>
    </row>
    <row r="39" spans="23:30" x14ac:dyDescent="0.2">
      <c r="W39" s="1" t="s">
        <v>3</v>
      </c>
      <c r="X39">
        <v>200</v>
      </c>
      <c r="Y39">
        <v>3.6119184129778072</v>
      </c>
      <c r="Z39">
        <v>3.6119184129778072</v>
      </c>
      <c r="AC39">
        <v>145920</v>
      </c>
      <c r="AD39">
        <v>114503</v>
      </c>
    </row>
    <row r="40" spans="23:30" x14ac:dyDescent="0.2">
      <c r="X40">
        <f t="shared" ref="X40:X45" si="7">X39/5</f>
        <v>40</v>
      </c>
      <c r="Y40">
        <v>2.5383074265151149</v>
      </c>
      <c r="Z40">
        <v>2.2633643798407634</v>
      </c>
      <c r="AC40">
        <v>26508</v>
      </c>
      <c r="AD40">
        <v>25762</v>
      </c>
    </row>
    <row r="41" spans="23:30" x14ac:dyDescent="0.2">
      <c r="X41">
        <f t="shared" si="7"/>
        <v>8</v>
      </c>
      <c r="Y41">
        <v>0.51416452503150534</v>
      </c>
      <c r="Z41">
        <v>0.47965000629754095</v>
      </c>
      <c r="AC41">
        <v>11766</v>
      </c>
      <c r="AD41">
        <v>11757</v>
      </c>
    </row>
    <row r="42" spans="23:30" x14ac:dyDescent="0.2">
      <c r="X42">
        <f t="shared" si="7"/>
        <v>1.6</v>
      </c>
      <c r="Y42">
        <v>0.12556322297534575</v>
      </c>
      <c r="Z42">
        <v>0.10536051565782628</v>
      </c>
      <c r="AC42">
        <v>10707</v>
      </c>
      <c r="AD42">
        <v>10425</v>
      </c>
    </row>
    <row r="43" spans="23:30" x14ac:dyDescent="0.2">
      <c r="X43">
        <f t="shared" si="7"/>
        <v>0.32</v>
      </c>
      <c r="Y43">
        <v>3.448793045867319E-2</v>
      </c>
      <c r="Z43">
        <v>3.3349979681554072E-2</v>
      </c>
      <c r="AC43">
        <v>10649</v>
      </c>
      <c r="AD43">
        <v>10931</v>
      </c>
    </row>
    <row r="44" spans="23:30" x14ac:dyDescent="0.2">
      <c r="X44">
        <f t="shared" si="7"/>
        <v>6.4000000000000001E-2</v>
      </c>
      <c r="Y44">
        <v>1.9896631714456645E-2</v>
      </c>
      <c r="Z44">
        <v>1.8775155326333979E-2</v>
      </c>
      <c r="AC44">
        <v>9307</v>
      </c>
      <c r="AD44">
        <v>10658</v>
      </c>
    </row>
    <row r="45" spans="23:30" x14ac:dyDescent="0.2">
      <c r="X45">
        <f t="shared" si="7"/>
        <v>1.2800000000000001E-2</v>
      </c>
      <c r="Y45">
        <v>1.6841017196026556E-2</v>
      </c>
      <c r="Z45">
        <v>1.7044434609258474E-2</v>
      </c>
      <c r="AC45">
        <v>10318</v>
      </c>
      <c r="AD45">
        <v>10627</v>
      </c>
    </row>
    <row r="46" spans="23:30" x14ac:dyDescent="0.2">
      <c r="X46">
        <v>0</v>
      </c>
      <c r="Y46">
        <v>1.3389237119016052E-2</v>
      </c>
      <c r="Z46">
        <v>1.2477521511112579E-2</v>
      </c>
      <c r="AC46">
        <v>10153</v>
      </c>
      <c r="AD46">
        <v>9860</v>
      </c>
    </row>
    <row r="47" spans="23:30" x14ac:dyDescent="0.2">
      <c r="X47" s="1" t="s">
        <v>8</v>
      </c>
      <c r="Y47">
        <f>AVERAGE(Y46:Z46)+3*STDEV(Y46:Z46)</f>
        <v>1.48674201816508E-2</v>
      </c>
    </row>
    <row r="49" spans="23:30" x14ac:dyDescent="0.2">
      <c r="W49" s="1" t="s">
        <v>9</v>
      </c>
      <c r="X49">
        <v>1</v>
      </c>
      <c r="Y49">
        <v>1.4301784710859645E-2</v>
      </c>
      <c r="Z49">
        <v>7.8305791151885608E-3</v>
      </c>
      <c r="AC49">
        <v>8761</v>
      </c>
      <c r="AD49">
        <v>10315</v>
      </c>
    </row>
    <row r="50" spans="23:30" x14ac:dyDescent="0.2">
      <c r="W50" s="1" t="s">
        <v>10</v>
      </c>
      <c r="X50">
        <v>2</v>
      </c>
      <c r="Y50">
        <v>1.653596864009952E-2</v>
      </c>
      <c r="Z50">
        <v>1.5722960465236198E-2</v>
      </c>
      <c r="AC50">
        <v>10099</v>
      </c>
      <c r="AD50">
        <v>9473</v>
      </c>
    </row>
    <row r="51" spans="23:30" x14ac:dyDescent="0.2">
      <c r="W51" s="1" t="s">
        <v>11</v>
      </c>
      <c r="X51">
        <v>3</v>
      </c>
      <c r="Y51">
        <v>1.3591953519466972E-2</v>
      </c>
      <c r="Z51">
        <v>1.0757656652960208E-2</v>
      </c>
      <c r="AC51">
        <v>10092</v>
      </c>
      <c r="AD51">
        <v>8973</v>
      </c>
    </row>
    <row r="52" spans="23:30" x14ac:dyDescent="0.2">
      <c r="W52" s="1" t="s">
        <v>12</v>
      </c>
      <c r="X52">
        <v>4</v>
      </c>
      <c r="Y52">
        <v>1.7756721589258985E-2</v>
      </c>
      <c r="Z52">
        <v>1.1263192278710714E-2</v>
      </c>
      <c r="AC52">
        <v>8921</v>
      </c>
      <c r="AD52">
        <v>9921</v>
      </c>
    </row>
    <row r="53" spans="23:30" x14ac:dyDescent="0.2">
      <c r="W53" s="1" t="s">
        <v>13</v>
      </c>
      <c r="X53">
        <v>5</v>
      </c>
      <c r="Y53">
        <v>1.633265462089761E-2</v>
      </c>
      <c r="Z53">
        <v>1.2983927558294786E-2</v>
      </c>
      <c r="AC53">
        <v>9322</v>
      </c>
      <c r="AD53">
        <v>8783</v>
      </c>
    </row>
    <row r="54" spans="23:30" x14ac:dyDescent="0.2">
      <c r="W54" s="1" t="s">
        <v>14</v>
      </c>
      <c r="X54">
        <v>6</v>
      </c>
      <c r="Y54">
        <v>1.9590649765004148E-2</v>
      </c>
      <c r="Z54">
        <v>1.6129381929883644E-2</v>
      </c>
      <c r="AC54">
        <v>10391</v>
      </c>
      <c r="AD54">
        <v>8696</v>
      </c>
    </row>
    <row r="55" spans="23:30" x14ac:dyDescent="0.2">
      <c r="W55" s="1" t="s">
        <v>15</v>
      </c>
      <c r="X55">
        <v>7</v>
      </c>
      <c r="Y55">
        <v>1.2781334364733152E-2</v>
      </c>
      <c r="Z55">
        <v>1.3693327132002567E-2</v>
      </c>
      <c r="AC55">
        <v>9451</v>
      </c>
      <c r="AD55">
        <v>7582</v>
      </c>
    </row>
    <row r="56" spans="23:30" x14ac:dyDescent="0.2">
      <c r="W56" s="1" t="s">
        <v>16</v>
      </c>
      <c r="X56">
        <v>8</v>
      </c>
      <c r="Y56">
        <v>1.3186561804175559E-2</v>
      </c>
      <c r="Z56">
        <v>1.2477521511112579E-2</v>
      </c>
      <c r="AC56">
        <v>7947</v>
      </c>
      <c r="AD56">
        <v>7522</v>
      </c>
    </row>
    <row r="57" spans="23:30" x14ac:dyDescent="0.2">
      <c r="W57" s="1" t="s">
        <v>17</v>
      </c>
      <c r="X57">
        <v>9</v>
      </c>
      <c r="Y57">
        <v>7.1253249425886267E-3</v>
      </c>
      <c r="Z57">
        <v>9.2425813669325448E-3</v>
      </c>
      <c r="AC57">
        <v>6534</v>
      </c>
      <c r="AD57">
        <v>7423</v>
      </c>
    </row>
    <row r="58" spans="23:30" x14ac:dyDescent="0.2">
      <c r="W58" s="1" t="s">
        <v>18</v>
      </c>
      <c r="X58">
        <v>10</v>
      </c>
      <c r="Y58">
        <v>1.4403230310743743E-2</v>
      </c>
      <c r="Z58">
        <v>1.633265462089761E-2</v>
      </c>
      <c r="AC58">
        <v>6728</v>
      </c>
      <c r="AD58">
        <v>7367</v>
      </c>
    </row>
    <row r="59" spans="23:30" x14ac:dyDescent="0.2">
      <c r="W59" s="1" t="s">
        <v>19</v>
      </c>
      <c r="X59">
        <v>11</v>
      </c>
      <c r="Y59">
        <v>8.0321716972642666E-3</v>
      </c>
      <c r="Z59">
        <v>8.132983230188991E-3</v>
      </c>
      <c r="AC59">
        <v>6678</v>
      </c>
      <c r="AD59">
        <v>7424</v>
      </c>
    </row>
    <row r="60" spans="23:30" x14ac:dyDescent="0.2">
      <c r="W60" s="1" t="s">
        <v>20</v>
      </c>
      <c r="X60">
        <v>12</v>
      </c>
      <c r="Y60">
        <v>8.9398415694742963E-3</v>
      </c>
      <c r="Z60">
        <v>1.3085239548655481E-2</v>
      </c>
      <c r="AC60">
        <v>7259</v>
      </c>
      <c r="AD60">
        <v>7426</v>
      </c>
    </row>
    <row r="61" spans="23:30" x14ac:dyDescent="0.2">
      <c r="W61" s="1" t="s">
        <v>21</v>
      </c>
      <c r="X61">
        <v>13</v>
      </c>
      <c r="Y61">
        <v>1.3693327132002567E-2</v>
      </c>
      <c r="Z61">
        <v>1.0858743334875945E-2</v>
      </c>
      <c r="AC61">
        <v>7319</v>
      </c>
      <c r="AD61">
        <v>6022</v>
      </c>
    </row>
    <row r="62" spans="23:30" x14ac:dyDescent="0.2">
      <c r="W62" s="1" t="s">
        <v>22</v>
      </c>
      <c r="X62">
        <v>14</v>
      </c>
      <c r="Y62">
        <v>1.2072581234269249E-2</v>
      </c>
      <c r="Z62">
        <v>1.16678048676821E-2</v>
      </c>
      <c r="AC62">
        <v>7916</v>
      </c>
      <c r="AD62">
        <v>7207</v>
      </c>
    </row>
    <row r="63" spans="23:30" x14ac:dyDescent="0.2">
      <c r="W63" s="1" t="s">
        <v>23</v>
      </c>
      <c r="X63">
        <v>15</v>
      </c>
      <c r="Y63">
        <v>1.6637641153023248E-2</v>
      </c>
      <c r="Z63">
        <v>1.1364330079049759E-2</v>
      </c>
      <c r="AC63">
        <v>7865</v>
      </c>
      <c r="AD63">
        <v>8093</v>
      </c>
    </row>
    <row r="64" spans="23:30" x14ac:dyDescent="0.2">
      <c r="W64" s="1"/>
      <c r="AC64">
        <v>8943</v>
      </c>
      <c r="AD64">
        <v>8743</v>
      </c>
    </row>
    <row r="65" spans="23:30" x14ac:dyDescent="0.2">
      <c r="W65" s="1"/>
      <c r="AC65">
        <v>8121</v>
      </c>
      <c r="AD65">
        <v>8111</v>
      </c>
    </row>
    <row r="66" spans="23:30" x14ac:dyDescent="0.2">
      <c r="W66" s="1"/>
      <c r="AC66">
        <v>6671</v>
      </c>
      <c r="AD66">
        <v>7542</v>
      </c>
    </row>
    <row r="67" spans="23:30" x14ac:dyDescent="0.2">
      <c r="W67" s="1"/>
      <c r="AC67">
        <v>7845</v>
      </c>
      <c r="AD67">
        <v>6549</v>
      </c>
    </row>
    <row r="68" spans="23:30" x14ac:dyDescent="0.2">
      <c r="W68" s="1"/>
      <c r="AC68">
        <v>7574</v>
      </c>
      <c r="AD68">
        <v>6858</v>
      </c>
    </row>
    <row r="69" spans="23:30" x14ac:dyDescent="0.2">
      <c r="W69" s="1"/>
      <c r="AC69">
        <v>8104</v>
      </c>
      <c r="AD69">
        <v>6049</v>
      </c>
    </row>
    <row r="70" spans="23:30" x14ac:dyDescent="0.2">
      <c r="W70" s="1"/>
      <c r="AC70">
        <v>6948</v>
      </c>
      <c r="AD70">
        <v>6700</v>
      </c>
    </row>
    <row r="71" spans="23:30" x14ac:dyDescent="0.2">
      <c r="W71" s="1"/>
      <c r="AC71">
        <v>7605</v>
      </c>
      <c r="AD71">
        <v>8811</v>
      </c>
    </row>
    <row r="72" spans="23:30" x14ac:dyDescent="0.2">
      <c r="W72" s="1"/>
      <c r="AC72">
        <v>8064</v>
      </c>
      <c r="AD72">
        <v>9282</v>
      </c>
    </row>
    <row r="73" spans="23:30" x14ac:dyDescent="0.2">
      <c r="W73" s="1"/>
      <c r="AC73">
        <v>7787</v>
      </c>
      <c r="AD73">
        <v>6779</v>
      </c>
    </row>
    <row r="74" spans="23:30" x14ac:dyDescent="0.2">
      <c r="W74" s="1"/>
      <c r="AC74">
        <v>6899</v>
      </c>
      <c r="AD74">
        <v>7931</v>
      </c>
    </row>
    <row r="75" spans="23:30" x14ac:dyDescent="0.2">
      <c r="W75" s="1"/>
      <c r="AC75">
        <v>6596</v>
      </c>
      <c r="AD75">
        <v>7678</v>
      </c>
    </row>
    <row r="76" spans="23:30" x14ac:dyDescent="0.2">
      <c r="W76" s="1"/>
      <c r="AC76">
        <v>6848</v>
      </c>
      <c r="AD76">
        <v>7187</v>
      </c>
    </row>
    <row r="77" spans="23:30" x14ac:dyDescent="0.2">
      <c r="W77" s="1"/>
      <c r="AC77">
        <v>7225</v>
      </c>
      <c r="AD77">
        <v>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Stephanie</dc:creator>
  <cp:lastModifiedBy>Gibson, Travis E.</cp:lastModifiedBy>
  <dcterms:created xsi:type="dcterms:W3CDTF">2025-02-17T22:17:27Z</dcterms:created>
  <dcterms:modified xsi:type="dcterms:W3CDTF">2026-02-17T18:39:01Z</dcterms:modified>
</cp:coreProperties>
</file>