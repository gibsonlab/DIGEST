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human ibd and cancer/data/"/>
    </mc:Choice>
  </mc:AlternateContent>
  <xr:revisionPtr revIDLastSave="0" documentId="13_ncr:1_{DC88F28A-CFEE-7946-B985-CDB9B17A2FE0}" xr6:coauthVersionLast="47" xr6:coauthVersionMax="47" xr10:uidLastSave="{00000000-0000-0000-0000-000000000000}"/>
  <bookViews>
    <workbookView xWindow="34140" yWindow="3500" windowWidth="30040" windowHeight="21580" xr2:uid="{642EDE12-1512-D445-92F9-86AF63388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1" l="1"/>
  <c r="R46" i="1"/>
  <c r="Q40" i="1"/>
  <c r="Q41" i="1" s="1"/>
  <c r="R39" i="1"/>
  <c r="K48" i="1"/>
  <c r="J46" i="1"/>
  <c r="I40" i="1"/>
  <c r="J40" i="1" s="1"/>
  <c r="J39" i="1"/>
  <c r="C48" i="1"/>
  <c r="B46" i="1"/>
  <c r="A40" i="1"/>
  <c r="A41" i="1" s="1"/>
  <c r="B39" i="1"/>
  <c r="AA11" i="1"/>
  <c r="Z9" i="1"/>
  <c r="Y3" i="1"/>
  <c r="Y4" i="1" s="1"/>
  <c r="Z2" i="1"/>
  <c r="K11" i="1"/>
  <c r="J9" i="1"/>
  <c r="I3" i="1"/>
  <c r="I4" i="1" s="1"/>
  <c r="J2" i="1"/>
  <c r="S11" i="1"/>
  <c r="R9" i="1"/>
  <c r="Q3" i="1"/>
  <c r="Q4" i="1" s="1"/>
  <c r="Q5" i="1" s="1"/>
  <c r="R2" i="1"/>
  <c r="R3" i="1" l="1"/>
  <c r="I41" i="1"/>
  <c r="Q42" i="1"/>
  <c r="R41" i="1"/>
  <c r="R40" i="1"/>
  <c r="A42" i="1"/>
  <c r="B41" i="1"/>
  <c r="B40" i="1"/>
  <c r="Y5" i="1"/>
  <c r="Z4" i="1"/>
  <c r="Z3" i="1"/>
  <c r="I5" i="1"/>
  <c r="J4" i="1"/>
  <c r="J3" i="1"/>
  <c r="R4" i="1"/>
  <c r="Q6" i="1"/>
  <c r="R5" i="1"/>
  <c r="J41" i="1" l="1"/>
  <c r="I42" i="1"/>
  <c r="R42" i="1"/>
  <c r="Q43" i="1"/>
  <c r="B42" i="1"/>
  <c r="A43" i="1"/>
  <c r="Y6" i="1"/>
  <c r="Z5" i="1"/>
  <c r="J5" i="1"/>
  <c r="I6" i="1"/>
  <c r="Q7" i="1"/>
  <c r="R6" i="1"/>
  <c r="J42" i="1" l="1"/>
  <c r="I43" i="1"/>
  <c r="Q44" i="1"/>
  <c r="R43" i="1"/>
  <c r="A44" i="1"/>
  <c r="B43" i="1"/>
  <c r="Y7" i="1"/>
  <c r="Z6" i="1"/>
  <c r="I7" i="1"/>
  <c r="J6" i="1"/>
  <c r="Q8" i="1"/>
  <c r="R8" i="1" s="1"/>
  <c r="R7" i="1"/>
  <c r="I44" i="1" l="1"/>
  <c r="J43" i="1"/>
  <c r="Q45" i="1"/>
  <c r="R45" i="1" s="1"/>
  <c r="R44" i="1"/>
  <c r="A45" i="1"/>
  <c r="B45" i="1" s="1"/>
  <c r="B44" i="1"/>
  <c r="Y8" i="1"/>
  <c r="Z8" i="1" s="1"/>
  <c r="Z7" i="1"/>
  <c r="I8" i="1"/>
  <c r="J8" i="1" s="1"/>
  <c r="J7" i="1"/>
  <c r="I45" i="1" l="1"/>
  <c r="J45" i="1" s="1"/>
  <c r="J44" i="1"/>
</calcChain>
</file>

<file path=xl/sharedStrings.xml><?xml version="1.0" encoding="utf-8"?>
<sst xmlns="http://schemas.openxmlformats.org/spreadsheetml/2006/main" count="373" uniqueCount="45">
  <si>
    <t>IL22 (pg/mL)</t>
  </si>
  <si>
    <t>MW=16.8k x g/mol [pM]</t>
  </si>
  <si>
    <t>AMB</t>
  </si>
  <si>
    <t>LOD</t>
  </si>
  <si>
    <t>HDX1</t>
  </si>
  <si>
    <t>UC+symptoms</t>
  </si>
  <si>
    <t>HDX2</t>
  </si>
  <si>
    <t>HDX3</t>
  </si>
  <si>
    <t>HDX4</t>
  </si>
  <si>
    <t>HDX5</t>
  </si>
  <si>
    <t>HDX6</t>
  </si>
  <si>
    <t>HDX7</t>
  </si>
  <si>
    <t>HDX8</t>
  </si>
  <si>
    <t>HDX9</t>
  </si>
  <si>
    <t>UC-symptoms</t>
  </si>
  <si>
    <t>HDX10</t>
  </si>
  <si>
    <t>HDX11</t>
  </si>
  <si>
    <t>HDX12</t>
  </si>
  <si>
    <t>HDX13</t>
  </si>
  <si>
    <t>HDX14</t>
  </si>
  <si>
    <t>HDX15</t>
  </si>
  <si>
    <t>HDX16</t>
  </si>
  <si>
    <t>HDX17</t>
  </si>
  <si>
    <t>control</t>
  </si>
  <si>
    <t>HDX18</t>
  </si>
  <si>
    <t>HDX19</t>
  </si>
  <si>
    <t>HDX20</t>
  </si>
  <si>
    <t>HDX21</t>
  </si>
  <si>
    <t>HDX22</t>
  </si>
  <si>
    <t>HDX23</t>
  </si>
  <si>
    <t>HDX24</t>
  </si>
  <si>
    <t>IL6 (pg/mL)</t>
  </si>
  <si>
    <t>MW=23.7 k x g/mol [pM]</t>
  </si>
  <si>
    <t>IL23 (pg/mL)</t>
  </si>
  <si>
    <t>MW=54.1 k x g/mol [pM]</t>
  </si>
  <si>
    <t>IL10 (pg/mL)</t>
  </si>
  <si>
    <t>MW=16.6 k x g/mol [pM]</t>
  </si>
  <si>
    <t>IL17 (pg/mL)</t>
  </si>
  <si>
    <t>MW=35 k x g/mol [pM]</t>
  </si>
  <si>
    <t>IL18 (pg/mL)</t>
  </si>
  <si>
    <t>MW=18.2 k x g/mol [pM]</t>
  </si>
  <si>
    <t>TNFa (pg/mL)</t>
  </si>
  <si>
    <t>MW=17.4 k x g/mol [pM]</t>
  </si>
  <si>
    <t>Mean</t>
  </si>
  <si>
    <t>GeoMean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</si>
</sst>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6D60-093C-2F4F-89DF-E278084F6B22}">
  <dimension ref="A1:AE84"/>
  <sheetViews>
    <sheetView tabSelected="1" zoomScale="87" zoomScaleNormal="87" workbookViewId="0">
      <selection activeCell="H9" sqref="H9"/>
    </sheetView>
  </sheetViews>
  <sheetFormatPr baseColWidth="10" defaultRowHeight="16" x14ac:dyDescent="0.2"/>
  <cols>
    <col min="2" max="2" width="16" customWidth="1"/>
  </cols>
  <sheetData>
    <row r="1" spans="1:31" x14ac:dyDescent="0.2">
      <c r="A1" s="1" t="s">
        <v>0</v>
      </c>
      <c r="B1" t="s">
        <v>1</v>
      </c>
      <c r="C1" t="s">
        <v>2</v>
      </c>
      <c r="E1" t="s">
        <v>44</v>
      </c>
      <c r="I1" s="2" t="s">
        <v>33</v>
      </c>
      <c r="J1" s="2" t="s">
        <v>34</v>
      </c>
      <c r="K1" s="2" t="s">
        <v>2</v>
      </c>
      <c r="M1" t="s">
        <v>44</v>
      </c>
      <c r="Q1" s="4" t="s">
        <v>31</v>
      </c>
      <c r="R1" s="2" t="s">
        <v>32</v>
      </c>
      <c r="S1" s="2" t="s">
        <v>2</v>
      </c>
      <c r="U1" t="s">
        <v>44</v>
      </c>
      <c r="Y1" s="4" t="s">
        <v>35</v>
      </c>
      <c r="Z1" s="2" t="s">
        <v>36</v>
      </c>
      <c r="AA1" s="2" t="s">
        <v>2</v>
      </c>
      <c r="AC1" t="s">
        <v>44</v>
      </c>
    </row>
    <row r="2" spans="1:31" x14ac:dyDescent="0.2">
      <c r="A2">
        <v>200</v>
      </c>
      <c r="B2">
        <v>11.904761904761905</v>
      </c>
      <c r="C2">
        <v>5.5214610000000004</v>
      </c>
      <c r="D2">
        <v>4.5098599999999998</v>
      </c>
      <c r="E2">
        <v>521000</v>
      </c>
      <c r="F2">
        <v>717000</v>
      </c>
      <c r="I2">
        <v>200</v>
      </c>
      <c r="J2" s="3">
        <f>I2/54.1</f>
        <v>3.696857670979667</v>
      </c>
      <c r="K2">
        <v>0.87707001872087365</v>
      </c>
      <c r="L2">
        <v>1.2873544132649875</v>
      </c>
      <c r="M2">
        <v>59760</v>
      </c>
      <c r="N2">
        <v>65389</v>
      </c>
      <c r="Q2">
        <v>200</v>
      </c>
      <c r="R2" s="3">
        <f>Q2/54.1</f>
        <v>3.696857670979667</v>
      </c>
      <c r="S2">
        <v>1.8578992717326006</v>
      </c>
      <c r="T2">
        <v>2.7333680090865009</v>
      </c>
      <c r="U2">
        <v>319875</v>
      </c>
      <c r="V2">
        <v>212684</v>
      </c>
      <c r="Y2">
        <v>200</v>
      </c>
      <c r="Z2" s="3">
        <f>Y2/16.6</f>
        <v>12.048192771084336</v>
      </c>
      <c r="AA2" s="2">
        <v>4.8283137399999996</v>
      </c>
      <c r="AB2" s="2">
        <v>4.34280592</v>
      </c>
      <c r="AC2">
        <v>44390</v>
      </c>
      <c r="AD2">
        <v>51029</v>
      </c>
    </row>
    <row r="3" spans="1:31" x14ac:dyDescent="0.2">
      <c r="A3">
        <v>40</v>
      </c>
      <c r="B3">
        <v>2.3809523809523809</v>
      </c>
      <c r="C3">
        <v>4.135167</v>
      </c>
      <c r="D3">
        <v>4.1997049999999998</v>
      </c>
      <c r="E3">
        <v>228656</v>
      </c>
      <c r="F3">
        <v>237421</v>
      </c>
      <c r="I3">
        <f t="shared" ref="I3:I8" si="0">I2/5</f>
        <v>40</v>
      </c>
      <c r="J3" s="3">
        <f t="shared" ref="J3:J9" si="1">I3/54.1</f>
        <v>0.73937153419593349</v>
      </c>
      <c r="K3">
        <v>0.81418550893700148</v>
      </c>
      <c r="L3">
        <v>0.68121860969467152</v>
      </c>
      <c r="M3">
        <v>20029</v>
      </c>
      <c r="N3">
        <v>18869</v>
      </c>
      <c r="Q3">
        <f t="shared" ref="Q3:Q8" si="2">Q2/5</f>
        <v>40</v>
      </c>
      <c r="R3" s="3">
        <f t="shared" ref="R3:R9" si="3">Q3/54.1</f>
        <v>0.73937153419593349</v>
      </c>
      <c r="S3">
        <v>1.1647520911726545</v>
      </c>
      <c r="T3">
        <v>1.443923473956527</v>
      </c>
      <c r="U3">
        <v>25969</v>
      </c>
      <c r="V3">
        <v>28264</v>
      </c>
      <c r="Y3">
        <f t="shared" ref="Y3:Y8" si="4">Y2/5</f>
        <v>40</v>
      </c>
      <c r="Z3" s="3">
        <f t="shared" ref="Z3:Z8" si="5">Y3/16.6</f>
        <v>2.4096385542168672</v>
      </c>
      <c r="AA3" s="2">
        <v>0.81871039999999995</v>
      </c>
      <c r="AB3" s="2">
        <v>0.89648810000000001</v>
      </c>
      <c r="AC3">
        <v>13359</v>
      </c>
      <c r="AD3">
        <v>14815</v>
      </c>
    </row>
    <row r="4" spans="1:31" x14ac:dyDescent="0.2">
      <c r="A4">
        <v>8</v>
      </c>
      <c r="B4">
        <v>0.47619047619047616</v>
      </c>
      <c r="C4">
        <v>2.5902669999999999</v>
      </c>
      <c r="D4">
        <v>2.7181009999999999</v>
      </c>
      <c r="E4">
        <v>44673</v>
      </c>
      <c r="F4">
        <v>52411</v>
      </c>
      <c r="I4">
        <f t="shared" si="0"/>
        <v>8</v>
      </c>
      <c r="J4" s="3">
        <f t="shared" si="1"/>
        <v>0.14787430683918668</v>
      </c>
      <c r="K4">
        <v>0.18512548412668892</v>
      </c>
      <c r="L4">
        <v>0.17793120849266178</v>
      </c>
      <c r="M4">
        <v>11740</v>
      </c>
      <c r="N4">
        <v>12034</v>
      </c>
      <c r="Q4">
        <f t="shared" si="2"/>
        <v>8</v>
      </c>
      <c r="R4" s="3">
        <f t="shared" si="3"/>
        <v>0.14787430683918668</v>
      </c>
      <c r="S4">
        <v>0.79850769621777173</v>
      </c>
      <c r="T4">
        <v>0.50583808225495164</v>
      </c>
      <c r="U4">
        <v>17767</v>
      </c>
      <c r="V4">
        <v>15093</v>
      </c>
      <c r="Y4">
        <f t="shared" si="4"/>
        <v>8</v>
      </c>
      <c r="Z4" s="3">
        <f t="shared" si="5"/>
        <v>0.48192771084337344</v>
      </c>
      <c r="AA4" s="2">
        <v>0.16251893000000001</v>
      </c>
      <c r="AB4" s="2">
        <v>0.19116051000000001</v>
      </c>
      <c r="AC4">
        <v>10666</v>
      </c>
      <c r="AD4">
        <v>11732</v>
      </c>
    </row>
    <row r="5" spans="1:31" x14ac:dyDescent="0.2">
      <c r="A5">
        <v>1.6</v>
      </c>
      <c r="B5">
        <v>9.5238095238095233E-2</v>
      </c>
      <c r="C5">
        <v>0.50418099999999999</v>
      </c>
      <c r="D5">
        <v>0.58698700000000004</v>
      </c>
      <c r="E5">
        <v>16725</v>
      </c>
      <c r="F5">
        <v>14506</v>
      </c>
      <c r="I5">
        <f t="shared" si="0"/>
        <v>1.6</v>
      </c>
      <c r="J5" s="3">
        <f t="shared" si="1"/>
        <v>2.9574861367837338E-2</v>
      </c>
      <c r="K5">
        <v>8.0667903067454819E-2</v>
      </c>
      <c r="L5">
        <v>8.9596533811756168E-2</v>
      </c>
      <c r="M5">
        <v>11069</v>
      </c>
      <c r="N5">
        <v>11646</v>
      </c>
      <c r="Q5">
        <f t="shared" si="2"/>
        <v>1.6</v>
      </c>
      <c r="R5" s="3">
        <f t="shared" si="3"/>
        <v>2.9574861367837338E-2</v>
      </c>
      <c r="S5">
        <v>0.22941316432780509</v>
      </c>
      <c r="T5">
        <v>0.22439433321586247</v>
      </c>
      <c r="U5">
        <v>14573</v>
      </c>
      <c r="V5">
        <v>13360</v>
      </c>
      <c r="Y5">
        <f t="shared" si="4"/>
        <v>1.6</v>
      </c>
      <c r="Z5" s="3">
        <f t="shared" si="5"/>
        <v>9.638554216867469E-2</v>
      </c>
      <c r="AA5" s="2">
        <v>6.9602780000000003E-2</v>
      </c>
      <c r="AB5" s="2">
        <v>7.1173819999999999E-2</v>
      </c>
      <c r="AC5">
        <v>11644</v>
      </c>
      <c r="AD5">
        <v>10900</v>
      </c>
    </row>
    <row r="6" spans="1:31" x14ac:dyDescent="0.2">
      <c r="A6">
        <v>0.32</v>
      </c>
      <c r="B6">
        <v>1.9047619047619046E-2</v>
      </c>
      <c r="C6">
        <v>0.15568699999999999</v>
      </c>
      <c r="D6">
        <v>0.19845099999999999</v>
      </c>
      <c r="E6">
        <v>16265</v>
      </c>
      <c r="F6">
        <v>13058</v>
      </c>
      <c r="I6">
        <f t="shared" si="0"/>
        <v>0.32</v>
      </c>
      <c r="J6" s="3">
        <f t="shared" si="1"/>
        <v>5.9149722735674674E-3</v>
      </c>
      <c r="K6">
        <v>6.9350078134793172E-2</v>
      </c>
      <c r="L6">
        <v>6.4538521137571178E-2</v>
      </c>
      <c r="M6">
        <v>10832</v>
      </c>
      <c r="N6">
        <v>10396</v>
      </c>
      <c r="Q6">
        <f t="shared" si="2"/>
        <v>0.32</v>
      </c>
      <c r="R6" s="3">
        <f t="shared" si="3"/>
        <v>5.9149722735674674E-3</v>
      </c>
      <c r="S6">
        <v>0.11428914640212766</v>
      </c>
      <c r="T6">
        <v>0.13926206733350766</v>
      </c>
      <c r="U6">
        <v>12869</v>
      </c>
      <c r="V6">
        <v>11640</v>
      </c>
      <c r="Y6">
        <f t="shared" si="4"/>
        <v>0.32</v>
      </c>
      <c r="Z6" s="3">
        <f t="shared" si="5"/>
        <v>1.9277108433734938E-2</v>
      </c>
      <c r="AA6" s="2">
        <v>2.14068E-2</v>
      </c>
      <c r="AB6" s="2">
        <v>2.8811079999999999E-2</v>
      </c>
      <c r="AC6">
        <v>11269</v>
      </c>
      <c r="AD6">
        <v>10696</v>
      </c>
    </row>
    <row r="7" spans="1:31" x14ac:dyDescent="0.2">
      <c r="A7">
        <v>6.4000000000000001E-2</v>
      </c>
      <c r="B7">
        <v>3.8095238095238095E-3</v>
      </c>
      <c r="C7">
        <v>0.115411</v>
      </c>
      <c r="D7">
        <v>8.0018000000000006E-2</v>
      </c>
      <c r="E7">
        <v>12021</v>
      </c>
      <c r="F7">
        <v>12826</v>
      </c>
      <c r="I7">
        <f t="shared" si="0"/>
        <v>6.4000000000000001E-2</v>
      </c>
      <c r="J7" s="3">
        <f t="shared" si="1"/>
        <v>1.1829944547134936E-3</v>
      </c>
      <c r="K7">
        <v>4.7091607533850569E-2</v>
      </c>
      <c r="L7">
        <v>4.5939231941445217E-2</v>
      </c>
      <c r="M7">
        <v>11833</v>
      </c>
      <c r="N7">
        <v>10121</v>
      </c>
      <c r="Q7">
        <f t="shared" si="2"/>
        <v>6.4000000000000001E-2</v>
      </c>
      <c r="R7" s="3">
        <f t="shared" si="3"/>
        <v>1.1829944547134936E-3</v>
      </c>
      <c r="S7">
        <v>8.4142768112428087E-2</v>
      </c>
      <c r="T7">
        <v>8.0993159209531859E-2</v>
      </c>
      <c r="U7">
        <v>13196</v>
      </c>
      <c r="V7">
        <v>11472</v>
      </c>
      <c r="Y7">
        <f t="shared" si="4"/>
        <v>6.4000000000000001E-2</v>
      </c>
      <c r="Z7" s="3">
        <f t="shared" si="5"/>
        <v>3.8554216867469878E-3</v>
      </c>
      <c r="AA7" s="2">
        <v>1.6027759999999999E-2</v>
      </c>
      <c r="AB7" s="2">
        <v>1.6129379999999999E-2</v>
      </c>
      <c r="AC7">
        <v>11010</v>
      </c>
      <c r="AD7">
        <v>9423</v>
      </c>
    </row>
    <row r="8" spans="1:31" x14ac:dyDescent="0.2">
      <c r="A8">
        <v>1.2800000000000001E-2</v>
      </c>
      <c r="B8">
        <v>7.6190476190476193E-4</v>
      </c>
      <c r="C8">
        <v>3.8948999999999998E-2</v>
      </c>
      <c r="D8">
        <v>3.1800000000000002E-2</v>
      </c>
      <c r="E8">
        <v>12014</v>
      </c>
      <c r="F8">
        <v>12355</v>
      </c>
      <c r="I8">
        <f t="shared" si="0"/>
        <v>1.2800000000000001E-2</v>
      </c>
      <c r="J8" s="3">
        <f t="shared" si="1"/>
        <v>2.3659889094269871E-4</v>
      </c>
      <c r="K8">
        <v>4.0301296773525688E-2</v>
      </c>
      <c r="L8">
        <v>4.1342963534382431E-2</v>
      </c>
      <c r="M8">
        <v>10216</v>
      </c>
      <c r="N8">
        <v>10036</v>
      </c>
      <c r="Q8">
        <f t="shared" si="2"/>
        <v>1.2800000000000001E-2</v>
      </c>
      <c r="R8" s="3">
        <f t="shared" si="3"/>
        <v>2.3659889094269871E-4</v>
      </c>
      <c r="S8">
        <v>4.3116291073628077E-2</v>
      </c>
      <c r="T8">
        <v>4.5125484126689E-2</v>
      </c>
      <c r="U8">
        <v>12086</v>
      </c>
      <c r="V8">
        <v>10153</v>
      </c>
      <c r="Y8">
        <f t="shared" si="4"/>
        <v>1.2800000000000001E-2</v>
      </c>
      <c r="Z8" s="3">
        <f t="shared" si="5"/>
        <v>7.7108433734939755E-4</v>
      </c>
      <c r="AA8" s="2">
        <v>1.1878354000000001E-2</v>
      </c>
      <c r="AB8" s="2">
        <v>1.0513832000000001E-2</v>
      </c>
      <c r="AC8">
        <v>10318</v>
      </c>
      <c r="AD8">
        <v>11066</v>
      </c>
    </row>
    <row r="9" spans="1:31" x14ac:dyDescent="0.2">
      <c r="A9">
        <v>0</v>
      </c>
      <c r="B9">
        <v>0</v>
      </c>
      <c r="C9">
        <v>5.4667E-2</v>
      </c>
      <c r="D9">
        <v>6.1989700000000002E-2</v>
      </c>
      <c r="E9">
        <v>10505</v>
      </c>
      <c r="F9">
        <v>11696</v>
      </c>
      <c r="I9">
        <v>0</v>
      </c>
      <c r="J9" s="3">
        <f t="shared" si="1"/>
        <v>0</v>
      </c>
      <c r="K9">
        <v>2.5830760034521515E-2</v>
      </c>
      <c r="L9">
        <v>1.9692633345736045E-2</v>
      </c>
      <c r="M9">
        <v>11048</v>
      </c>
      <c r="N9">
        <v>11048</v>
      </c>
      <c r="Q9">
        <v>0</v>
      </c>
      <c r="R9" s="3">
        <f t="shared" si="3"/>
        <v>0</v>
      </c>
      <c r="S9">
        <v>4.5729851706174329E-2</v>
      </c>
      <c r="T9">
        <v>3.9156220293917299E-2</v>
      </c>
      <c r="U9">
        <v>11923</v>
      </c>
      <c r="V9">
        <v>8733</v>
      </c>
      <c r="Y9">
        <v>0</v>
      </c>
      <c r="Z9" s="3">
        <f t="shared" ref="Z9" si="6">Y9/54.1</f>
        <v>0</v>
      </c>
      <c r="AA9" s="2">
        <v>1.075766E-2</v>
      </c>
      <c r="AB9" s="2">
        <v>1.0872329999999999E-2</v>
      </c>
      <c r="AC9">
        <v>6938</v>
      </c>
      <c r="AD9">
        <v>9522</v>
      </c>
    </row>
    <row r="11" spans="1:31" x14ac:dyDescent="0.2">
      <c r="B11" t="s">
        <v>3</v>
      </c>
      <c r="C11">
        <v>6.3506280826594735E-2</v>
      </c>
      <c r="J11" t="s">
        <v>3</v>
      </c>
      <c r="K11">
        <f>AVERAGE(K9:L9)+STDEV(K9:L9)</f>
        <v>2.7102007695551114E-2</v>
      </c>
      <c r="R11" t="s">
        <v>3</v>
      </c>
      <c r="S11">
        <f>AVERAGE(S9:T9)+STDEV(S9:T9)</f>
        <v>4.7091295348673665E-2</v>
      </c>
      <c r="Z11" t="s">
        <v>3</v>
      </c>
      <c r="AA11">
        <f>AVERAGE(AA9:AB9)+STDEV(AA9:AB9)</f>
        <v>1.0896078934598662E-2</v>
      </c>
    </row>
    <row r="13" spans="1:31" x14ac:dyDescent="0.2">
      <c r="B13" t="s">
        <v>4</v>
      </c>
      <c r="C13" t="s">
        <v>5</v>
      </c>
      <c r="D13">
        <v>0.460449</v>
      </c>
      <c r="E13">
        <v>0.29222999999999999</v>
      </c>
      <c r="F13">
        <v>15831</v>
      </c>
      <c r="G13">
        <v>11546</v>
      </c>
      <c r="J13" t="s">
        <v>4</v>
      </c>
      <c r="K13" t="s">
        <v>5</v>
      </c>
      <c r="L13">
        <v>1.2376271068055405E-2</v>
      </c>
      <c r="M13">
        <v>1.5926150550259255E-2</v>
      </c>
      <c r="N13">
        <v>11060</v>
      </c>
      <c r="O13">
        <v>11657</v>
      </c>
      <c r="R13" t="s">
        <v>4</v>
      </c>
      <c r="S13" t="s">
        <v>5</v>
      </c>
      <c r="T13">
        <v>4.4474490101829467E-2</v>
      </c>
      <c r="U13">
        <v>4.3011890593291052E-2</v>
      </c>
      <c r="V13">
        <v>11519</v>
      </c>
      <c r="W13">
        <v>11142</v>
      </c>
      <c r="Z13" t="s">
        <v>4</v>
      </c>
      <c r="AA13" t="s">
        <v>5</v>
      </c>
      <c r="AB13" s="2">
        <v>0.1199103</v>
      </c>
      <c r="AC13" s="2">
        <v>0.14734058999999999</v>
      </c>
      <c r="AD13">
        <v>10961</v>
      </c>
      <c r="AE13">
        <v>12307</v>
      </c>
    </row>
    <row r="14" spans="1:31" x14ac:dyDescent="0.2">
      <c r="B14" t="s">
        <v>6</v>
      </c>
      <c r="C14" t="s">
        <v>5</v>
      </c>
      <c r="D14">
        <v>2.0712999999999999E-2</v>
      </c>
      <c r="E14">
        <v>2.0611000000000001E-2</v>
      </c>
      <c r="F14">
        <v>13921</v>
      </c>
      <c r="G14">
        <v>11535</v>
      </c>
      <c r="J14" t="s">
        <v>6</v>
      </c>
      <c r="K14" t="s">
        <v>5</v>
      </c>
      <c r="L14">
        <v>1.826580880689254E-2</v>
      </c>
      <c r="M14">
        <v>2.1938907518753964E-2</v>
      </c>
      <c r="N14">
        <v>10923</v>
      </c>
      <c r="O14">
        <v>13153</v>
      </c>
      <c r="R14" t="s">
        <v>6</v>
      </c>
      <c r="S14" t="s">
        <v>5</v>
      </c>
      <c r="T14">
        <v>2.3780528665403391E-2</v>
      </c>
      <c r="U14">
        <v>2.6960181582783078E-2</v>
      </c>
      <c r="V14">
        <v>10923</v>
      </c>
      <c r="W14">
        <v>10744</v>
      </c>
      <c r="Z14" t="s">
        <v>6</v>
      </c>
      <c r="AA14" t="s">
        <v>5</v>
      </c>
      <c r="AB14" s="2">
        <v>1.7451390000000001E-2</v>
      </c>
      <c r="AC14" s="2">
        <v>1.9896629999999998E-2</v>
      </c>
      <c r="AD14">
        <v>8358</v>
      </c>
      <c r="AE14">
        <v>10276</v>
      </c>
    </row>
    <row r="15" spans="1:31" x14ac:dyDescent="0.2">
      <c r="B15" t="s">
        <v>7</v>
      </c>
      <c r="C15" t="s">
        <v>5</v>
      </c>
      <c r="D15">
        <v>0.106472</v>
      </c>
      <c r="E15">
        <v>0.127833</v>
      </c>
      <c r="F15">
        <v>11631</v>
      </c>
      <c r="G15">
        <v>12802</v>
      </c>
      <c r="J15" t="s">
        <v>7</v>
      </c>
      <c r="K15" t="s">
        <v>5</v>
      </c>
      <c r="L15">
        <v>8.1329832301889907E-2</v>
      </c>
      <c r="M15">
        <v>3.9572775119823149E-2</v>
      </c>
      <c r="N15">
        <v>11798</v>
      </c>
      <c r="O15">
        <v>11008</v>
      </c>
      <c r="R15" t="s">
        <v>7</v>
      </c>
      <c r="S15" t="s">
        <v>5</v>
      </c>
      <c r="T15">
        <v>0.20334092401802997</v>
      </c>
      <c r="U15">
        <v>0.21443161071218833</v>
      </c>
      <c r="V15">
        <v>13479</v>
      </c>
      <c r="W15">
        <v>13135</v>
      </c>
      <c r="Z15" t="s">
        <v>7</v>
      </c>
      <c r="AA15" t="s">
        <v>5</v>
      </c>
      <c r="AB15" s="2">
        <v>0.14387037</v>
      </c>
      <c r="AC15" s="2">
        <v>0.21815601000000001</v>
      </c>
      <c r="AD15">
        <v>12146</v>
      </c>
      <c r="AE15">
        <v>13868</v>
      </c>
    </row>
    <row r="16" spans="1:31" x14ac:dyDescent="0.2">
      <c r="B16" t="s">
        <v>8</v>
      </c>
      <c r="C16" t="s">
        <v>5</v>
      </c>
      <c r="D16">
        <v>0.65285000000000004</v>
      </c>
      <c r="E16">
        <v>0.54991299999999999</v>
      </c>
      <c r="F16">
        <v>11551</v>
      </c>
      <c r="G16">
        <v>12338</v>
      </c>
      <c r="J16" t="s">
        <v>8</v>
      </c>
      <c r="K16" t="s">
        <v>5</v>
      </c>
      <c r="L16">
        <v>0.14606152389362101</v>
      </c>
      <c r="M16">
        <v>0.13353139262452263</v>
      </c>
      <c r="N16">
        <v>12421</v>
      </c>
      <c r="O16">
        <v>11479</v>
      </c>
      <c r="R16" t="s">
        <v>8</v>
      </c>
      <c r="S16" t="s">
        <v>5</v>
      </c>
      <c r="T16">
        <v>2.2041130876880279E-2</v>
      </c>
      <c r="U16">
        <v>2.8605257010334437E-2</v>
      </c>
      <c r="V16">
        <v>11321</v>
      </c>
      <c r="W16">
        <v>11251</v>
      </c>
      <c r="Z16" t="s">
        <v>8</v>
      </c>
      <c r="AA16" t="s">
        <v>5</v>
      </c>
      <c r="AB16" s="2">
        <v>2.0713039999999999E-2</v>
      </c>
      <c r="AC16" s="2">
        <v>5.9325469999999998E-2</v>
      </c>
      <c r="AD16">
        <v>10519</v>
      </c>
      <c r="AE16">
        <v>12416</v>
      </c>
    </row>
    <row r="17" spans="2:31" x14ac:dyDescent="0.2">
      <c r="B17" t="s">
        <v>9</v>
      </c>
      <c r="C17" t="s">
        <v>5</v>
      </c>
      <c r="D17">
        <v>8.1753000000000006E-2</v>
      </c>
      <c r="E17">
        <v>2.3269000000000001E-2</v>
      </c>
      <c r="F17">
        <v>12012</v>
      </c>
      <c r="G17">
        <v>10744</v>
      </c>
      <c r="J17" t="s">
        <v>9</v>
      </c>
      <c r="K17" t="s">
        <v>5</v>
      </c>
      <c r="L17">
        <v>4.0926166612645837E-2</v>
      </c>
      <c r="M17">
        <v>3.0459207484708574E-2</v>
      </c>
      <c r="N17">
        <v>10387</v>
      </c>
      <c r="O17">
        <v>11007</v>
      </c>
      <c r="R17" t="s">
        <v>9</v>
      </c>
      <c r="S17" t="s">
        <v>5</v>
      </c>
      <c r="T17">
        <v>0.186429727998387</v>
      </c>
      <c r="U17">
        <v>0.15665381004537685</v>
      </c>
      <c r="V17">
        <v>10649</v>
      </c>
      <c r="W17">
        <v>11294</v>
      </c>
      <c r="Z17" t="s">
        <v>9</v>
      </c>
      <c r="AA17" t="s">
        <v>5</v>
      </c>
      <c r="AB17" s="2">
        <v>1.7372712800000001</v>
      </c>
      <c r="AC17" s="2">
        <v>1.8773173599999999</v>
      </c>
      <c r="AD17">
        <v>22011</v>
      </c>
      <c r="AE17">
        <v>24306</v>
      </c>
    </row>
    <row r="18" spans="2:31" x14ac:dyDescent="0.2">
      <c r="B18" t="s">
        <v>10</v>
      </c>
      <c r="C18" t="s">
        <v>5</v>
      </c>
      <c r="D18">
        <v>0.31078</v>
      </c>
      <c r="E18">
        <v>0.31061</v>
      </c>
      <c r="F18">
        <v>12790</v>
      </c>
      <c r="G18">
        <v>11040</v>
      </c>
      <c r="J18" t="s">
        <v>10</v>
      </c>
      <c r="K18" t="s">
        <v>5</v>
      </c>
      <c r="L18">
        <v>1.5722960465236198E-2</v>
      </c>
      <c r="M18">
        <v>3.8221212820197741E-2</v>
      </c>
      <c r="N18">
        <v>12624</v>
      </c>
      <c r="O18">
        <v>10584</v>
      </c>
      <c r="R18" t="s">
        <v>10</v>
      </c>
      <c r="S18" t="s">
        <v>5</v>
      </c>
      <c r="T18">
        <v>1.9794627328179493E-2</v>
      </c>
      <c r="U18">
        <v>2.7988036540168713E-2</v>
      </c>
      <c r="V18">
        <v>17338</v>
      </c>
      <c r="W18">
        <v>11122</v>
      </c>
      <c r="Z18" t="s">
        <v>10</v>
      </c>
      <c r="AA18" t="s">
        <v>5</v>
      </c>
      <c r="AB18" s="2">
        <v>2.7062920000000001E-2</v>
      </c>
      <c r="AC18" s="2">
        <v>5.7946959999999999E-2</v>
      </c>
      <c r="AD18">
        <v>11094</v>
      </c>
      <c r="AE18">
        <v>12767</v>
      </c>
    </row>
    <row r="19" spans="2:31" x14ac:dyDescent="0.2">
      <c r="B19" t="s">
        <v>11</v>
      </c>
      <c r="C19" t="s">
        <v>5</v>
      </c>
      <c r="D19">
        <v>0.136966</v>
      </c>
      <c r="E19">
        <v>0.37396600000000002</v>
      </c>
      <c r="F19">
        <v>12088</v>
      </c>
      <c r="G19">
        <v>12605</v>
      </c>
      <c r="J19" t="s">
        <v>11</v>
      </c>
      <c r="K19" t="s">
        <v>5</v>
      </c>
      <c r="L19">
        <v>4.7091607533850569E-2</v>
      </c>
      <c r="M19">
        <v>4.646287441034086E-2</v>
      </c>
      <c r="N19">
        <v>10949</v>
      </c>
      <c r="O19">
        <v>10916</v>
      </c>
      <c r="R19" t="s">
        <v>11</v>
      </c>
      <c r="S19" t="s">
        <v>5</v>
      </c>
      <c r="T19">
        <v>4.7825629482604499E-2</v>
      </c>
      <c r="U19">
        <v>9.6510900380843728E-2</v>
      </c>
      <c r="V19">
        <v>10896</v>
      </c>
      <c r="W19">
        <v>11061</v>
      </c>
      <c r="Z19" t="s">
        <v>11</v>
      </c>
      <c r="AA19" t="s">
        <v>5</v>
      </c>
      <c r="AB19" s="2">
        <v>1.9488680000000001E-2</v>
      </c>
      <c r="AC19" s="2">
        <v>1.7553160000000002E-2</v>
      </c>
      <c r="AD19">
        <v>9897</v>
      </c>
      <c r="AE19">
        <v>11920</v>
      </c>
    </row>
    <row r="20" spans="2:31" x14ac:dyDescent="0.2">
      <c r="B20" t="s">
        <v>12</v>
      </c>
      <c r="C20" t="s">
        <v>5</v>
      </c>
      <c r="D20">
        <v>3.6457000000000003E-2</v>
      </c>
      <c r="E20">
        <v>1.9897000000000001E-2</v>
      </c>
      <c r="F20">
        <v>12203</v>
      </c>
      <c r="G20">
        <v>10835</v>
      </c>
      <c r="J20" t="s">
        <v>12</v>
      </c>
      <c r="K20" t="s">
        <v>5</v>
      </c>
      <c r="L20">
        <v>8.4469156626449965E-2</v>
      </c>
      <c r="M20">
        <v>5.4984308332759503E-2</v>
      </c>
      <c r="N20">
        <v>10298</v>
      </c>
      <c r="O20">
        <v>11292</v>
      </c>
      <c r="R20" t="s">
        <v>12</v>
      </c>
      <c r="S20" t="s">
        <v>5</v>
      </c>
      <c r="T20">
        <v>0.18349031049902501</v>
      </c>
      <c r="U20">
        <v>0.20211618412213422</v>
      </c>
      <c r="V20">
        <v>12246</v>
      </c>
      <c r="W20">
        <v>10436</v>
      </c>
      <c r="Z20" t="s">
        <v>12</v>
      </c>
      <c r="AA20" t="s">
        <v>5</v>
      </c>
      <c r="AB20" s="2">
        <v>3.6041770000000001E-2</v>
      </c>
      <c r="AC20" s="2">
        <v>3.5834449999999997E-2</v>
      </c>
      <c r="AD20">
        <v>9283</v>
      </c>
      <c r="AE20">
        <v>10587</v>
      </c>
    </row>
    <row r="21" spans="2:31" x14ac:dyDescent="0.2">
      <c r="B21" t="s">
        <v>13</v>
      </c>
      <c r="C21" t="s">
        <v>14</v>
      </c>
      <c r="D21">
        <v>3.9676999999999997E-2</v>
      </c>
      <c r="E21">
        <v>3.6664000000000002E-2</v>
      </c>
      <c r="F21">
        <v>8929</v>
      </c>
      <c r="G21">
        <v>10248</v>
      </c>
      <c r="J21" t="s">
        <v>13</v>
      </c>
      <c r="K21" t="s">
        <v>14</v>
      </c>
      <c r="L21">
        <v>7.5585986956595075E-2</v>
      </c>
      <c r="M21">
        <v>3.1181117483574737E-2</v>
      </c>
      <c r="N21">
        <v>11537</v>
      </c>
      <c r="O21">
        <v>7386</v>
      </c>
      <c r="R21" t="s">
        <v>13</v>
      </c>
      <c r="S21" t="s">
        <v>14</v>
      </c>
      <c r="T21">
        <v>0.26549335233536497</v>
      </c>
      <c r="U21">
        <v>0.2744368457017603</v>
      </c>
      <c r="V21">
        <v>8580</v>
      </c>
      <c r="W21">
        <v>10475</v>
      </c>
      <c r="Z21" t="s">
        <v>13</v>
      </c>
      <c r="AA21" t="s">
        <v>14</v>
      </c>
      <c r="AB21" s="2">
        <v>0.10536052</v>
      </c>
      <c r="AC21" s="2">
        <v>1.8978970000000001E-2</v>
      </c>
      <c r="AD21">
        <v>13073</v>
      </c>
      <c r="AE21">
        <v>8474</v>
      </c>
    </row>
    <row r="22" spans="2:31" x14ac:dyDescent="0.2">
      <c r="B22" t="s">
        <v>15</v>
      </c>
      <c r="C22" t="s">
        <v>14</v>
      </c>
      <c r="D22">
        <v>1.9998999999999999E-2</v>
      </c>
      <c r="E22">
        <v>1.9692999999999999E-2</v>
      </c>
      <c r="F22">
        <v>14482</v>
      </c>
      <c r="G22">
        <v>15779</v>
      </c>
      <c r="J22" t="s">
        <v>15</v>
      </c>
      <c r="K22" t="s">
        <v>14</v>
      </c>
      <c r="L22">
        <v>0.28501895503229724</v>
      </c>
      <c r="M22">
        <v>0.97021907389971074</v>
      </c>
      <c r="N22">
        <v>11960</v>
      </c>
      <c r="O22">
        <v>17836</v>
      </c>
      <c r="R22" t="s">
        <v>15</v>
      </c>
      <c r="S22" t="s">
        <v>14</v>
      </c>
      <c r="T22">
        <v>4.6986791224336868E-2</v>
      </c>
      <c r="U22">
        <v>4.2072776421907772E-2</v>
      </c>
      <c r="V22">
        <v>12358</v>
      </c>
      <c r="W22">
        <v>11331</v>
      </c>
      <c r="Z22" t="s">
        <v>15</v>
      </c>
      <c r="AA22" t="s">
        <v>14</v>
      </c>
      <c r="AB22" s="2">
        <v>6.5498979999999998E-2</v>
      </c>
      <c r="AC22" s="2">
        <v>5.3997509999999999E-2</v>
      </c>
      <c r="AD22">
        <v>11560</v>
      </c>
      <c r="AE22">
        <v>9159</v>
      </c>
    </row>
    <row r="23" spans="2:31" x14ac:dyDescent="0.2">
      <c r="B23" t="s">
        <v>16</v>
      </c>
      <c r="C23" t="s">
        <v>14</v>
      </c>
      <c r="D23">
        <v>1.4302E-2</v>
      </c>
      <c r="E23">
        <v>1.4200000000000001E-2</v>
      </c>
      <c r="F23">
        <v>11771</v>
      </c>
      <c r="G23">
        <v>11917</v>
      </c>
      <c r="J23" t="s">
        <v>16</v>
      </c>
      <c r="K23" t="s">
        <v>14</v>
      </c>
      <c r="L23">
        <v>1.6942720730312024E-2</v>
      </c>
      <c r="M23">
        <v>1.6831968497067699E-2</v>
      </c>
      <c r="N23">
        <v>16071</v>
      </c>
      <c r="O23">
        <v>16183</v>
      </c>
      <c r="R23" t="s">
        <v>16</v>
      </c>
      <c r="S23" t="s">
        <v>14</v>
      </c>
      <c r="T23">
        <v>2.357573652870569E-2</v>
      </c>
      <c r="U23">
        <v>2.2564668153232801E-2</v>
      </c>
      <c r="V23">
        <v>12005</v>
      </c>
      <c r="W23">
        <v>11804</v>
      </c>
      <c r="Z23" t="s">
        <v>16</v>
      </c>
      <c r="AA23" t="s">
        <v>14</v>
      </c>
      <c r="AB23" s="2">
        <v>2.1938909999999999E-2</v>
      </c>
      <c r="AC23" s="2">
        <v>2.1938909999999999E-2</v>
      </c>
      <c r="AD23">
        <v>10696</v>
      </c>
      <c r="AE23">
        <v>10195</v>
      </c>
    </row>
    <row r="24" spans="2:31" x14ac:dyDescent="0.2">
      <c r="B24" t="s">
        <v>17</v>
      </c>
      <c r="C24" t="s">
        <v>14</v>
      </c>
      <c r="D24">
        <v>1.9285E-2</v>
      </c>
      <c r="E24">
        <v>1.9795E-2</v>
      </c>
      <c r="F24">
        <v>14560</v>
      </c>
      <c r="G24">
        <v>15084</v>
      </c>
      <c r="J24" t="s">
        <v>17</v>
      </c>
      <c r="K24" t="s">
        <v>14</v>
      </c>
      <c r="L24">
        <v>2.7268427154193777E-2</v>
      </c>
      <c r="M24">
        <v>2.0100671707002912E-2</v>
      </c>
      <c r="N24">
        <v>11778</v>
      </c>
      <c r="O24">
        <v>11005</v>
      </c>
      <c r="R24" t="s">
        <v>17</v>
      </c>
      <c r="S24" t="s">
        <v>14</v>
      </c>
      <c r="T24">
        <v>2.0508876631540447E-2</v>
      </c>
      <c r="U24">
        <v>1.1162064706191918E-2</v>
      </c>
      <c r="V24">
        <v>12300</v>
      </c>
      <c r="W24">
        <v>9869</v>
      </c>
      <c r="Z24" t="s">
        <v>17</v>
      </c>
      <c r="AA24" t="s">
        <v>14</v>
      </c>
      <c r="AB24" s="2">
        <v>1.9284760000000001E-2</v>
      </c>
      <c r="AC24" s="2">
        <v>1.7146160000000001E-2</v>
      </c>
      <c r="AD24">
        <v>10421</v>
      </c>
      <c r="AE24">
        <v>10836</v>
      </c>
    </row>
    <row r="25" spans="2:31" x14ac:dyDescent="0.2">
      <c r="B25" t="s">
        <v>18</v>
      </c>
      <c r="C25" t="s">
        <v>14</v>
      </c>
      <c r="D25">
        <v>2.1018999999999999E-2</v>
      </c>
      <c r="E25">
        <v>2.2859000000000001E-2</v>
      </c>
      <c r="F25">
        <v>17337</v>
      </c>
      <c r="G25">
        <v>12530</v>
      </c>
      <c r="J25" t="s">
        <v>18</v>
      </c>
      <c r="K25" t="s">
        <v>14</v>
      </c>
      <c r="L25">
        <v>4.1551427158235114E-2</v>
      </c>
      <c r="M25">
        <v>4.5671682541643999E-2</v>
      </c>
      <c r="N25">
        <v>11928</v>
      </c>
      <c r="O25">
        <v>19142</v>
      </c>
      <c r="R25" t="s">
        <v>18</v>
      </c>
      <c r="S25" t="s">
        <v>14</v>
      </c>
      <c r="T25">
        <v>0.16134315040876293</v>
      </c>
      <c r="U25">
        <v>0.21443161071218833</v>
      </c>
      <c r="V25">
        <v>9146</v>
      </c>
      <c r="W25">
        <v>11629</v>
      </c>
      <c r="Z25" t="s">
        <v>18</v>
      </c>
      <c r="AA25" t="s">
        <v>14</v>
      </c>
      <c r="AB25" s="2">
        <v>1.328789E-2</v>
      </c>
      <c r="AC25" s="2">
        <v>1.521517E-2</v>
      </c>
      <c r="AD25">
        <v>8407</v>
      </c>
      <c r="AE25">
        <v>9190</v>
      </c>
    </row>
    <row r="26" spans="2:31" x14ac:dyDescent="0.2">
      <c r="B26" t="s">
        <v>19</v>
      </c>
      <c r="C26" t="s">
        <v>14</v>
      </c>
      <c r="D26">
        <v>2.0917000000000002E-2</v>
      </c>
      <c r="E26">
        <v>2.3473000000000001E-2</v>
      </c>
      <c r="F26">
        <v>12329</v>
      </c>
      <c r="G26">
        <v>11254</v>
      </c>
      <c r="J26" t="s">
        <v>19</v>
      </c>
      <c r="K26" t="s">
        <v>14</v>
      </c>
      <c r="L26">
        <v>0.1935847490726654</v>
      </c>
      <c r="M26">
        <v>0.14128722204884001</v>
      </c>
      <c r="N26">
        <v>10277</v>
      </c>
      <c r="O26">
        <v>17661</v>
      </c>
      <c r="R26" t="s">
        <v>19</v>
      </c>
      <c r="S26" t="s">
        <v>14</v>
      </c>
      <c r="T26">
        <v>0.20291905400784199</v>
      </c>
      <c r="U26">
        <v>0.43078291609245423</v>
      </c>
      <c r="V26">
        <v>9365</v>
      </c>
      <c r="W26">
        <v>10768</v>
      </c>
      <c r="Z26" t="s">
        <v>19</v>
      </c>
      <c r="AA26" t="s">
        <v>14</v>
      </c>
      <c r="AB26" s="2">
        <v>2.8647040100000001</v>
      </c>
      <c r="AC26" s="2">
        <v>3.0576076799999998</v>
      </c>
      <c r="AD26">
        <v>205735</v>
      </c>
      <c r="AE26">
        <v>270235</v>
      </c>
    </row>
    <row r="27" spans="2:31" x14ac:dyDescent="0.2">
      <c r="B27" t="s">
        <v>20</v>
      </c>
      <c r="C27" t="s">
        <v>14</v>
      </c>
      <c r="D27">
        <v>3.1078000000000001E-2</v>
      </c>
      <c r="E27">
        <v>3.3867000000000001E-2</v>
      </c>
      <c r="F27">
        <v>11536</v>
      </c>
      <c r="G27">
        <v>11084</v>
      </c>
      <c r="J27" t="s">
        <v>20</v>
      </c>
      <c r="K27" t="s">
        <v>14</v>
      </c>
      <c r="L27">
        <v>0.16134315040876293</v>
      </c>
      <c r="M27">
        <v>0.14784096500277</v>
      </c>
      <c r="N27">
        <v>9093</v>
      </c>
      <c r="O27">
        <v>24273</v>
      </c>
      <c r="R27" t="s">
        <v>20</v>
      </c>
      <c r="S27" t="s">
        <v>14</v>
      </c>
      <c r="T27">
        <v>4.3847399780276325E-2</v>
      </c>
      <c r="U27">
        <v>8.8188930515682301E-2</v>
      </c>
      <c r="V27">
        <v>11709</v>
      </c>
      <c r="W27">
        <v>11631</v>
      </c>
      <c r="Z27" t="s">
        <v>20</v>
      </c>
      <c r="AA27" t="s">
        <v>14</v>
      </c>
      <c r="AB27" s="2">
        <v>0.18392284</v>
      </c>
      <c r="AC27" s="2">
        <v>0.18512548000000001</v>
      </c>
      <c r="AD27">
        <v>13954</v>
      </c>
      <c r="AE27">
        <v>14239</v>
      </c>
    </row>
    <row r="28" spans="2:31" x14ac:dyDescent="0.2">
      <c r="B28" t="s">
        <v>21</v>
      </c>
      <c r="C28" t="s">
        <v>14</v>
      </c>
      <c r="D28">
        <v>2.7987999999999999E-2</v>
      </c>
      <c r="E28">
        <v>3.0047000000000001E-2</v>
      </c>
      <c r="F28">
        <v>12170</v>
      </c>
      <c r="G28">
        <v>12590</v>
      </c>
      <c r="J28" t="s">
        <v>21</v>
      </c>
      <c r="K28" t="s">
        <v>14</v>
      </c>
      <c r="L28">
        <v>4.1030349557991917E-2</v>
      </c>
      <c r="M28">
        <v>2.3063939598551693E-2</v>
      </c>
      <c r="N28">
        <v>10613</v>
      </c>
      <c r="O28">
        <v>11518</v>
      </c>
      <c r="R28" t="s">
        <v>21</v>
      </c>
      <c r="S28" t="s">
        <v>14</v>
      </c>
      <c r="T28">
        <v>4.8455220269403368E-2</v>
      </c>
      <c r="U28">
        <v>4.7416705979899998E-2</v>
      </c>
      <c r="V28">
        <v>11365</v>
      </c>
      <c r="W28">
        <v>14073</v>
      </c>
      <c r="Z28" t="s">
        <v>21</v>
      </c>
      <c r="AA28" t="s">
        <v>14</v>
      </c>
      <c r="AB28" s="2">
        <v>2.1019369999999999E-2</v>
      </c>
      <c r="AC28" s="2">
        <v>1.501212E-2</v>
      </c>
      <c r="AD28">
        <v>10440</v>
      </c>
      <c r="AE28">
        <v>9371</v>
      </c>
    </row>
    <row r="29" spans="2:31" x14ac:dyDescent="0.2">
      <c r="B29" t="s">
        <v>22</v>
      </c>
      <c r="C29" t="s">
        <v>23</v>
      </c>
      <c r="D29">
        <v>1.6535999999999999E-2</v>
      </c>
      <c r="E29">
        <v>2.1939E-2</v>
      </c>
      <c r="F29">
        <v>11763</v>
      </c>
      <c r="G29">
        <v>11772</v>
      </c>
      <c r="J29" t="s">
        <v>22</v>
      </c>
      <c r="K29" t="s">
        <v>23</v>
      </c>
      <c r="L29">
        <v>2.0508876631540447E-2</v>
      </c>
      <c r="M29">
        <v>2.1691300156357399E-2</v>
      </c>
      <c r="N29">
        <v>11530</v>
      </c>
      <c r="O29">
        <v>10204</v>
      </c>
      <c r="R29" t="s">
        <v>22</v>
      </c>
      <c r="S29" t="s">
        <v>23</v>
      </c>
      <c r="T29">
        <v>1.9080887812791953E-2</v>
      </c>
      <c r="U29">
        <v>1.4403230310743743E-2</v>
      </c>
      <c r="V29">
        <v>9105</v>
      </c>
      <c r="W29">
        <v>9579</v>
      </c>
      <c r="Z29" t="s">
        <v>22</v>
      </c>
      <c r="AA29" t="s">
        <v>23</v>
      </c>
      <c r="AB29" s="2">
        <v>0.23193206</v>
      </c>
      <c r="AC29" s="2">
        <v>0.23698896</v>
      </c>
      <c r="AD29">
        <v>14526</v>
      </c>
      <c r="AE29">
        <v>15336</v>
      </c>
    </row>
    <row r="30" spans="2:31" x14ac:dyDescent="0.2">
      <c r="B30" t="s">
        <v>24</v>
      </c>
      <c r="C30" t="s">
        <v>23</v>
      </c>
      <c r="D30">
        <v>3.3142999999999999E-2</v>
      </c>
      <c r="E30">
        <v>2.3678000000000001E-2</v>
      </c>
      <c r="F30">
        <v>11825</v>
      </c>
      <c r="G30">
        <v>11090</v>
      </c>
      <c r="J30" t="s">
        <v>24</v>
      </c>
      <c r="K30" t="s">
        <v>23</v>
      </c>
      <c r="L30">
        <v>2.2552404470511489E-2</v>
      </c>
      <c r="M30">
        <v>2.2245608947319737E-2</v>
      </c>
      <c r="N30">
        <v>12689</v>
      </c>
      <c r="O30">
        <v>11430</v>
      </c>
      <c r="R30" t="s">
        <v>24</v>
      </c>
      <c r="S30" t="s">
        <v>23</v>
      </c>
      <c r="T30">
        <v>2.5420377346911223E-2</v>
      </c>
      <c r="U30">
        <v>3.2626502827094166E-2</v>
      </c>
      <c r="V30">
        <v>12242</v>
      </c>
      <c r="W30">
        <v>11679</v>
      </c>
      <c r="Z30" t="s">
        <v>24</v>
      </c>
      <c r="AA30" t="s">
        <v>23</v>
      </c>
      <c r="AB30" s="2">
        <v>4.1342959999999998E-2</v>
      </c>
      <c r="AC30" s="2">
        <v>4.1447190000000002E-2</v>
      </c>
      <c r="AD30">
        <v>11894</v>
      </c>
      <c r="AE30">
        <v>11792</v>
      </c>
    </row>
    <row r="31" spans="2:31" x14ac:dyDescent="0.2">
      <c r="B31" t="s">
        <v>25</v>
      </c>
      <c r="C31" t="s">
        <v>23</v>
      </c>
      <c r="D31">
        <v>6.0281000000000001E-2</v>
      </c>
      <c r="E31">
        <v>6.8599999999999994E-2</v>
      </c>
      <c r="F31">
        <v>7176</v>
      </c>
      <c r="G31">
        <v>6902</v>
      </c>
      <c r="J31" t="s">
        <v>25</v>
      </c>
      <c r="K31" t="s">
        <v>23</v>
      </c>
      <c r="L31">
        <v>0.14079848655293001</v>
      </c>
      <c r="M31">
        <v>0.13124828660995402</v>
      </c>
      <c r="N31">
        <v>8230</v>
      </c>
      <c r="O31">
        <v>5921</v>
      </c>
      <c r="R31" t="s">
        <v>25</v>
      </c>
      <c r="S31" t="s">
        <v>23</v>
      </c>
      <c r="T31">
        <v>0.13467490332660159</v>
      </c>
      <c r="U31">
        <v>0.11765804346823246</v>
      </c>
      <c r="V31">
        <v>6812</v>
      </c>
      <c r="W31">
        <v>6515</v>
      </c>
      <c r="Z31" t="s">
        <v>25</v>
      </c>
      <c r="AA31" t="s">
        <v>23</v>
      </c>
      <c r="AB31" s="2">
        <v>3.3867069999999999E-2</v>
      </c>
      <c r="AC31" s="2">
        <v>3.9468740000000002E-2</v>
      </c>
      <c r="AD31">
        <v>11881</v>
      </c>
      <c r="AE31">
        <v>13334</v>
      </c>
    </row>
    <row r="32" spans="2:31" x14ac:dyDescent="0.2">
      <c r="B32" t="s">
        <v>26</v>
      </c>
      <c r="C32" t="s">
        <v>23</v>
      </c>
      <c r="D32">
        <v>2.6755000000000001E-2</v>
      </c>
      <c r="E32">
        <v>3.1593999999999997E-2</v>
      </c>
      <c r="F32">
        <v>12044</v>
      </c>
      <c r="G32">
        <v>12676</v>
      </c>
      <c r="J32" t="s">
        <v>26</v>
      </c>
      <c r="K32" t="s">
        <v>23</v>
      </c>
      <c r="L32">
        <v>2.3473356185642127E-2</v>
      </c>
      <c r="M32">
        <v>2.3825718912425801E-2</v>
      </c>
      <c r="N32">
        <v>12350</v>
      </c>
      <c r="O32">
        <v>12128</v>
      </c>
      <c r="R32" t="s">
        <v>26</v>
      </c>
      <c r="S32" t="s">
        <v>23</v>
      </c>
      <c r="T32">
        <v>4.8875167782136686E-2</v>
      </c>
      <c r="U32">
        <v>3.2110053918233586E-2</v>
      </c>
      <c r="V32">
        <v>11805</v>
      </c>
      <c r="W32">
        <v>10971</v>
      </c>
      <c r="Z32" t="s">
        <v>26</v>
      </c>
      <c r="AA32" t="s">
        <v>23</v>
      </c>
      <c r="AB32" s="2">
        <v>1.846952E-2</v>
      </c>
      <c r="AC32" s="2">
        <v>2.0100670000000001E-2</v>
      </c>
      <c r="AD32">
        <v>10768</v>
      </c>
      <c r="AE32">
        <v>11642</v>
      </c>
    </row>
    <row r="33" spans="1:31" x14ac:dyDescent="0.2">
      <c r="B33" t="s">
        <v>27</v>
      </c>
      <c r="C33" t="s">
        <v>23</v>
      </c>
      <c r="D33">
        <v>3.1283999999999999E-2</v>
      </c>
      <c r="E33">
        <v>3.1490999999999998E-2</v>
      </c>
      <c r="F33">
        <v>12851</v>
      </c>
      <c r="G33">
        <v>12788</v>
      </c>
      <c r="J33" t="s">
        <v>27</v>
      </c>
      <c r="K33" t="s">
        <v>23</v>
      </c>
      <c r="L33">
        <v>4.2159449003804798E-2</v>
      </c>
      <c r="M33">
        <v>6.1556305699105807E-2</v>
      </c>
      <c r="N33">
        <v>9748</v>
      </c>
      <c r="O33">
        <v>12288</v>
      </c>
      <c r="R33" t="s">
        <v>27</v>
      </c>
      <c r="S33" t="s">
        <v>23</v>
      </c>
      <c r="T33">
        <v>3.4798505542695542E-2</v>
      </c>
      <c r="U33">
        <v>4.0412153716745003E-2</v>
      </c>
      <c r="V33">
        <v>11662</v>
      </c>
      <c r="W33">
        <v>10431</v>
      </c>
      <c r="Z33" t="s">
        <v>27</v>
      </c>
      <c r="AA33" t="s">
        <v>23</v>
      </c>
      <c r="AB33" s="2">
        <v>1.389611E-2</v>
      </c>
      <c r="AC33" s="2">
        <v>1.6129379999999999E-2</v>
      </c>
      <c r="AD33">
        <v>8576</v>
      </c>
      <c r="AE33">
        <v>9506</v>
      </c>
    </row>
    <row r="34" spans="1:31" x14ac:dyDescent="0.2">
      <c r="B34" t="s">
        <v>28</v>
      </c>
      <c r="C34" t="s">
        <v>23</v>
      </c>
      <c r="D34">
        <v>2.5010000000000001E-2</v>
      </c>
      <c r="E34">
        <v>2.7165999999999999E-2</v>
      </c>
      <c r="F34">
        <v>12385</v>
      </c>
      <c r="G34">
        <v>12371</v>
      </c>
      <c r="J34" t="s">
        <v>28</v>
      </c>
      <c r="K34" t="s">
        <v>23</v>
      </c>
      <c r="L34">
        <v>3.6036606932612701E-2</v>
      </c>
      <c r="M34">
        <v>2.5112700815075328E-2</v>
      </c>
      <c r="N34">
        <v>13427</v>
      </c>
      <c r="O34">
        <v>11597</v>
      </c>
      <c r="R34" t="s">
        <v>28</v>
      </c>
      <c r="S34" t="s">
        <v>23</v>
      </c>
      <c r="T34">
        <v>5.2662652583305922E-2</v>
      </c>
      <c r="U34">
        <v>5.3151179494174999E-2</v>
      </c>
      <c r="V34">
        <v>11915</v>
      </c>
      <c r="W34">
        <v>10732</v>
      </c>
      <c r="Z34" t="s">
        <v>28</v>
      </c>
      <c r="AA34" t="s">
        <v>23</v>
      </c>
      <c r="AB34" s="2">
        <v>1.7654940000000001E-2</v>
      </c>
      <c r="AC34" s="2">
        <v>1.338924E-2</v>
      </c>
      <c r="AD34">
        <v>10583</v>
      </c>
      <c r="AE34">
        <v>11508</v>
      </c>
    </row>
    <row r="35" spans="1:31" x14ac:dyDescent="0.2">
      <c r="B35" t="s">
        <v>29</v>
      </c>
      <c r="C35" t="s">
        <v>23</v>
      </c>
      <c r="D35">
        <v>3.6144999999999997E-2</v>
      </c>
      <c r="E35">
        <v>3.2627000000000003E-2</v>
      </c>
      <c r="F35">
        <v>11460</v>
      </c>
      <c r="G35">
        <v>13224</v>
      </c>
      <c r="J35" t="s">
        <v>29</v>
      </c>
      <c r="K35" t="s">
        <v>23</v>
      </c>
      <c r="L35">
        <v>4.5243416362444E-2</v>
      </c>
      <c r="M35">
        <v>2.9222858676903284E-2</v>
      </c>
      <c r="N35">
        <v>52800</v>
      </c>
      <c r="O35">
        <v>13221</v>
      </c>
      <c r="R35" t="s">
        <v>29</v>
      </c>
      <c r="S35" t="s">
        <v>23</v>
      </c>
      <c r="T35">
        <v>0.10869941692334091</v>
      </c>
      <c r="U35">
        <v>6.1343150408763002E-2</v>
      </c>
      <c r="V35">
        <v>10568</v>
      </c>
      <c r="W35">
        <v>10741</v>
      </c>
      <c r="Z35" t="s">
        <v>29</v>
      </c>
      <c r="AA35" t="s">
        <v>23</v>
      </c>
      <c r="AB35" s="2">
        <v>1.521517E-2</v>
      </c>
      <c r="AC35" s="2">
        <v>1.4098919999999999E-2</v>
      </c>
      <c r="AD35">
        <v>8590</v>
      </c>
      <c r="AE35">
        <v>10185</v>
      </c>
    </row>
    <row r="36" spans="1:31" x14ac:dyDescent="0.2">
      <c r="B36" t="s">
        <v>30</v>
      </c>
      <c r="C36" t="s">
        <v>23</v>
      </c>
      <c r="D36">
        <v>3.1904000000000002E-2</v>
      </c>
      <c r="E36">
        <v>2.9738000000000001E-2</v>
      </c>
      <c r="F36">
        <v>12892</v>
      </c>
      <c r="G36">
        <v>11845</v>
      </c>
      <c r="J36" t="s">
        <v>30</v>
      </c>
      <c r="K36" t="s">
        <v>23</v>
      </c>
      <c r="L36">
        <v>3.8901107920161E-2</v>
      </c>
      <c r="M36">
        <v>2.0508876631540447E-2</v>
      </c>
      <c r="N36">
        <v>11392</v>
      </c>
      <c r="O36">
        <v>11289</v>
      </c>
      <c r="R36" t="s">
        <v>30</v>
      </c>
      <c r="S36" t="s">
        <v>23</v>
      </c>
      <c r="T36">
        <v>5.6676177193556859E-2</v>
      </c>
      <c r="U36">
        <v>4.5520515301809304E-2</v>
      </c>
      <c r="V36">
        <v>9281</v>
      </c>
      <c r="W36">
        <v>11567</v>
      </c>
      <c r="Z36" t="s">
        <v>30</v>
      </c>
      <c r="AA36" t="s">
        <v>23</v>
      </c>
      <c r="AB36" s="2">
        <v>1.6027759999999999E-2</v>
      </c>
      <c r="AC36" s="2">
        <v>1.2072579999999999E-2</v>
      </c>
      <c r="AD36">
        <v>8413</v>
      </c>
      <c r="AE36">
        <v>8198</v>
      </c>
    </row>
    <row r="37" spans="1:31" x14ac:dyDescent="0.2">
      <c r="AB37" s="2"/>
      <c r="AC37" s="2"/>
    </row>
    <row r="38" spans="1:31" x14ac:dyDescent="0.2">
      <c r="A38" s="2" t="s">
        <v>37</v>
      </c>
      <c r="B38" s="2" t="s">
        <v>38</v>
      </c>
      <c r="C38" s="2" t="s">
        <v>2</v>
      </c>
      <c r="E38" t="s">
        <v>44</v>
      </c>
      <c r="I38" s="2" t="s">
        <v>39</v>
      </c>
      <c r="J38" s="2" t="s">
        <v>40</v>
      </c>
      <c r="K38" s="2" t="s">
        <v>2</v>
      </c>
      <c r="M38" t="s">
        <v>44</v>
      </c>
      <c r="Q38" s="2" t="s">
        <v>41</v>
      </c>
      <c r="R38" s="2" t="s">
        <v>42</v>
      </c>
      <c r="S38" s="2" t="s">
        <v>2</v>
      </c>
      <c r="U38" t="s">
        <v>44</v>
      </c>
    </row>
    <row r="39" spans="1:31" x14ac:dyDescent="0.2">
      <c r="A39">
        <v>200</v>
      </c>
      <c r="B39" s="3">
        <f>A39/35</f>
        <v>5.7142857142857144</v>
      </c>
      <c r="C39">
        <v>3.6888794541139354</v>
      </c>
      <c r="D39">
        <v>4.422848629194136</v>
      </c>
      <c r="E39">
        <v>429000</v>
      </c>
      <c r="F39">
        <v>512000</v>
      </c>
      <c r="I39">
        <v>200</v>
      </c>
      <c r="J39" s="3">
        <f>I39/18.2</f>
        <v>10.989010989010989</v>
      </c>
      <c r="K39" s="2">
        <v>2.513306</v>
      </c>
      <c r="L39" s="2">
        <v>2.9957319999999998</v>
      </c>
      <c r="M39">
        <v>112519</v>
      </c>
      <c r="N39">
        <v>113865</v>
      </c>
      <c r="Q39">
        <v>200</v>
      </c>
      <c r="R39" s="3">
        <f>Q39/17.4</f>
        <v>11.494252873563219</v>
      </c>
      <c r="S39">
        <v>1.0228592941460799</v>
      </c>
      <c r="T39">
        <v>1.0266520309974201</v>
      </c>
      <c r="U39">
        <v>103275</v>
      </c>
      <c r="V39">
        <v>101652</v>
      </c>
    </row>
    <row r="40" spans="1:31" x14ac:dyDescent="0.2">
      <c r="A40">
        <f t="shared" ref="A40:A45" si="7">A39/5</f>
        <v>40</v>
      </c>
      <c r="B40" s="3">
        <f t="shared" ref="B40:B45" si="8">A40/35</f>
        <v>1.1428571428571428</v>
      </c>
      <c r="C40">
        <v>2.6592600369327788</v>
      </c>
      <c r="D40">
        <v>3.5065578973199809</v>
      </c>
      <c r="E40">
        <v>108791</v>
      </c>
      <c r="F40">
        <v>109485</v>
      </c>
      <c r="I40">
        <f t="shared" ref="I40:I45" si="9">I39/5</f>
        <v>40</v>
      </c>
      <c r="J40" s="3">
        <f t="shared" ref="J40:J45" si="10">I40/18.2</f>
        <v>2.197802197802198</v>
      </c>
      <c r="K40" s="2">
        <v>1.7092579999999999</v>
      </c>
      <c r="L40" s="2">
        <v>1.9877739999999999</v>
      </c>
      <c r="M40">
        <v>36325</v>
      </c>
      <c r="N40">
        <v>37463</v>
      </c>
      <c r="Q40">
        <f t="shared" ref="Q40:Q45" si="11">Q39/5</f>
        <v>40</v>
      </c>
      <c r="R40" s="3">
        <f t="shared" ref="R40:R45" si="12">Q40/17.4</f>
        <v>2.298850574712644</v>
      </c>
      <c r="S40">
        <v>0.39749693845898743</v>
      </c>
      <c r="T40">
        <v>0.35810453674832671</v>
      </c>
      <c r="U40">
        <v>13996</v>
      </c>
      <c r="V40">
        <v>13561</v>
      </c>
    </row>
    <row r="41" spans="1:31" x14ac:dyDescent="0.2">
      <c r="A41">
        <f t="shared" si="7"/>
        <v>8</v>
      </c>
      <c r="B41" s="3">
        <f t="shared" si="8"/>
        <v>0.22857142857142856</v>
      </c>
      <c r="C41">
        <v>2.4304184645039308</v>
      </c>
      <c r="D41">
        <v>2.3968957724652875</v>
      </c>
      <c r="E41">
        <v>22106</v>
      </c>
      <c r="F41">
        <v>20213</v>
      </c>
      <c r="I41">
        <f t="shared" si="9"/>
        <v>8</v>
      </c>
      <c r="J41" s="3">
        <f t="shared" si="10"/>
        <v>0.43956043956043955</v>
      </c>
      <c r="K41" s="2">
        <v>0.42924600000000002</v>
      </c>
      <c r="L41" s="2">
        <v>0.43850499999999998</v>
      </c>
      <c r="M41">
        <v>21595</v>
      </c>
      <c r="N41">
        <v>20118</v>
      </c>
      <c r="Q41">
        <f t="shared" si="11"/>
        <v>8</v>
      </c>
      <c r="R41" s="3">
        <f t="shared" si="12"/>
        <v>0.45977011494252878</v>
      </c>
      <c r="S41">
        <v>0.11428914640212766</v>
      </c>
      <c r="T41">
        <v>9.1019398387168549E-2</v>
      </c>
      <c r="U41">
        <v>11863</v>
      </c>
      <c r="V41">
        <v>10816</v>
      </c>
    </row>
    <row r="42" spans="1:31" x14ac:dyDescent="0.2">
      <c r="A42">
        <f t="shared" si="7"/>
        <v>1.6</v>
      </c>
      <c r="B42" s="3">
        <f t="shared" si="8"/>
        <v>4.5714285714285714E-2</v>
      </c>
      <c r="C42">
        <v>0.64245406624442714</v>
      </c>
      <c r="D42">
        <v>0.60880603212619433</v>
      </c>
      <c r="E42">
        <v>10033</v>
      </c>
      <c r="F42">
        <v>9925</v>
      </c>
      <c r="I42">
        <f t="shared" si="9"/>
        <v>1.6</v>
      </c>
      <c r="J42" s="3">
        <f t="shared" si="10"/>
        <v>8.7912087912087919E-2</v>
      </c>
      <c r="K42" s="2">
        <v>0.12443</v>
      </c>
      <c r="L42" s="2">
        <v>0.17912700000000001</v>
      </c>
      <c r="M42">
        <v>18448</v>
      </c>
      <c r="N42">
        <v>19199</v>
      </c>
      <c r="Q42">
        <f t="shared" si="11"/>
        <v>1.6</v>
      </c>
      <c r="R42" s="3">
        <f t="shared" si="12"/>
        <v>9.195402298850576E-2</v>
      </c>
      <c r="S42">
        <v>6.6353500550021177E-2</v>
      </c>
      <c r="T42">
        <v>5.4667401342308207E-2</v>
      </c>
      <c r="U42">
        <v>11495</v>
      </c>
      <c r="V42">
        <v>11914</v>
      </c>
    </row>
    <row r="43" spans="1:31" x14ac:dyDescent="0.2">
      <c r="A43">
        <f t="shared" si="7"/>
        <v>0.32</v>
      </c>
      <c r="B43" s="3">
        <f t="shared" si="8"/>
        <v>9.1428571428571435E-3</v>
      </c>
      <c r="C43">
        <v>0.15899573149045795</v>
      </c>
      <c r="D43">
        <v>0.16134315040876293</v>
      </c>
      <c r="E43">
        <v>8313</v>
      </c>
      <c r="F43">
        <v>8105</v>
      </c>
      <c r="I43">
        <f t="shared" si="9"/>
        <v>0.32</v>
      </c>
      <c r="J43" s="3">
        <f t="shared" si="10"/>
        <v>1.7582417582417582E-2</v>
      </c>
      <c r="K43" s="2">
        <v>8.7956999999999994E-2</v>
      </c>
      <c r="L43" s="2">
        <v>6.9028999999999993E-2</v>
      </c>
      <c r="M43">
        <v>19966</v>
      </c>
      <c r="N43">
        <v>20696</v>
      </c>
      <c r="Q43">
        <f t="shared" si="11"/>
        <v>0.32</v>
      </c>
      <c r="R43" s="3">
        <f t="shared" si="12"/>
        <v>1.8390804597701153E-2</v>
      </c>
      <c r="S43">
        <v>3.1387473241632727E-2</v>
      </c>
      <c r="T43">
        <v>3.1490667091370848E-2</v>
      </c>
      <c r="U43">
        <v>12007</v>
      </c>
      <c r="V43">
        <v>10061</v>
      </c>
    </row>
    <row r="44" spans="1:31" x14ac:dyDescent="0.2">
      <c r="A44">
        <f t="shared" si="7"/>
        <v>6.4000000000000001E-2</v>
      </c>
      <c r="B44" s="3">
        <f t="shared" si="8"/>
        <v>1.8285714285714285E-3</v>
      </c>
      <c r="C44">
        <v>8.5122253416835089E-2</v>
      </c>
      <c r="D44">
        <v>8.9924707527987008E-2</v>
      </c>
      <c r="E44">
        <v>8253</v>
      </c>
      <c r="F44">
        <v>7822</v>
      </c>
      <c r="I44">
        <f t="shared" si="9"/>
        <v>6.4000000000000001E-2</v>
      </c>
      <c r="J44" s="3">
        <f t="shared" si="10"/>
        <v>3.5164835164835165E-3</v>
      </c>
      <c r="K44" s="2">
        <v>2.8296999999999999E-2</v>
      </c>
      <c r="L44" s="2">
        <v>2.08255E-2</v>
      </c>
      <c r="M44">
        <v>20254</v>
      </c>
      <c r="N44">
        <v>23278</v>
      </c>
      <c r="Q44">
        <f t="shared" si="11"/>
        <v>6.4000000000000001E-2</v>
      </c>
      <c r="R44" s="3">
        <f t="shared" si="12"/>
        <v>3.6781609195402302E-3</v>
      </c>
      <c r="S44">
        <v>2.4292692569044587E-2</v>
      </c>
      <c r="T44">
        <v>2.275698712261618E-2</v>
      </c>
      <c r="U44">
        <v>11352</v>
      </c>
      <c r="V44">
        <v>12466</v>
      </c>
    </row>
    <row r="45" spans="1:31" x14ac:dyDescent="0.2">
      <c r="A45">
        <f t="shared" si="7"/>
        <v>1.2800000000000001E-2</v>
      </c>
      <c r="B45" s="3">
        <f t="shared" si="8"/>
        <v>3.6571428571428573E-4</v>
      </c>
      <c r="C45">
        <v>5.7311366713113522E-2</v>
      </c>
      <c r="D45">
        <v>4.5729851706174329E-2</v>
      </c>
      <c r="E45">
        <v>8188</v>
      </c>
      <c r="F45">
        <v>6983</v>
      </c>
      <c r="I45">
        <f t="shared" si="9"/>
        <v>1.2800000000000001E-2</v>
      </c>
      <c r="J45" s="3">
        <f t="shared" si="10"/>
        <v>7.0329670329670338E-4</v>
      </c>
      <c r="K45" s="2">
        <v>1.4402999999999999E-2</v>
      </c>
      <c r="L45" s="2">
        <v>1.2579E-2</v>
      </c>
      <c r="M45">
        <v>19473</v>
      </c>
      <c r="N45">
        <v>32400</v>
      </c>
      <c r="Q45">
        <f t="shared" si="11"/>
        <v>1.2800000000000001E-2</v>
      </c>
      <c r="R45" s="3">
        <f t="shared" si="12"/>
        <v>7.3563218390804608E-4</v>
      </c>
      <c r="S45">
        <v>1.8708164136743699E-2</v>
      </c>
      <c r="T45">
        <v>1.6960181582783101E-2</v>
      </c>
      <c r="U45">
        <v>12179</v>
      </c>
      <c r="V45">
        <v>10068</v>
      </c>
    </row>
    <row r="46" spans="1:31" x14ac:dyDescent="0.2">
      <c r="A46">
        <v>0</v>
      </c>
      <c r="B46" s="3">
        <f t="shared" ref="B46" si="13">A46/54.1</f>
        <v>0</v>
      </c>
      <c r="C46">
        <v>2.6652030997426513E-2</v>
      </c>
      <c r="D46">
        <v>3.5730809955798949E-2</v>
      </c>
      <c r="E46">
        <v>7752</v>
      </c>
      <c r="F46">
        <v>7132</v>
      </c>
      <c r="I46">
        <v>0</v>
      </c>
      <c r="J46" s="3">
        <f t="shared" ref="J46" si="14">I46/54.1</f>
        <v>0</v>
      </c>
      <c r="K46" s="2">
        <v>6.6781000000000002E-3</v>
      </c>
      <c r="L46" s="2">
        <v>8.7379999999999992E-3</v>
      </c>
      <c r="M46">
        <v>21432</v>
      </c>
      <c r="N46">
        <v>34410</v>
      </c>
      <c r="Q46">
        <v>0</v>
      </c>
      <c r="R46" s="3">
        <f t="shared" ref="R46" si="15">Q46/54.1</f>
        <v>0</v>
      </c>
      <c r="S46">
        <v>1.8662652583305898E-2</v>
      </c>
      <c r="T46">
        <v>1.9575736528705701E-2</v>
      </c>
      <c r="U46">
        <v>11650</v>
      </c>
      <c r="V46">
        <v>11932</v>
      </c>
    </row>
    <row r="48" spans="1:31" x14ac:dyDescent="0.2">
      <c r="B48" t="s">
        <v>3</v>
      </c>
      <c r="C48">
        <f>AVERAGE(C46:D46)+STDEV(C46:D46)</f>
        <v>3.7611086642971629E-2</v>
      </c>
      <c r="J48" t="s">
        <v>3</v>
      </c>
      <c r="K48">
        <f>AVERAGE(K46:L46)+STDEV(K46:L46)</f>
        <v>9.1646192585661673E-3</v>
      </c>
      <c r="R48" t="s">
        <v>3</v>
      </c>
      <c r="S48">
        <f>AVERAGE(S46:T46)+3*STDEV(S46:T46)</f>
        <v>2.1056138104760102E-2</v>
      </c>
    </row>
    <row r="49" spans="2:24" x14ac:dyDescent="0.2">
      <c r="T49" s="2" t="s">
        <v>2</v>
      </c>
      <c r="V49" s="2" t="s">
        <v>43</v>
      </c>
      <c r="W49" s="2"/>
      <c r="X49" s="2"/>
    </row>
    <row r="50" spans="2:24" x14ac:dyDescent="0.2">
      <c r="B50" t="s">
        <v>4</v>
      </c>
      <c r="C50" t="s">
        <v>5</v>
      </c>
      <c r="D50">
        <v>0.1427163022015952</v>
      </c>
      <c r="E50">
        <v>0.21195636192364545</v>
      </c>
      <c r="F50">
        <v>6454</v>
      </c>
      <c r="G50">
        <v>7446</v>
      </c>
      <c r="J50" t="s">
        <v>4</v>
      </c>
      <c r="K50" t="s">
        <v>5</v>
      </c>
      <c r="L50" s="2">
        <v>0.29705900000000002</v>
      </c>
      <c r="M50" s="2">
        <v>0.27049699999999999</v>
      </c>
      <c r="N50">
        <v>19188</v>
      </c>
      <c r="O50">
        <v>18289</v>
      </c>
      <c r="R50" t="s">
        <v>4</v>
      </c>
      <c r="S50" t="s">
        <v>5</v>
      </c>
      <c r="T50">
        <v>2.3370986323240202E-2</v>
      </c>
      <c r="U50">
        <v>1.9896631714456645E-2</v>
      </c>
      <c r="V50">
        <v>9691</v>
      </c>
      <c r="W50">
        <v>12257</v>
      </c>
    </row>
    <row r="51" spans="2:24" x14ac:dyDescent="0.2">
      <c r="B51" t="s">
        <v>6</v>
      </c>
      <c r="C51" t="s">
        <v>5</v>
      </c>
      <c r="D51">
        <v>0.13896105192111399</v>
      </c>
      <c r="E51">
        <v>0.2269006001919221</v>
      </c>
      <c r="F51">
        <v>6999</v>
      </c>
      <c r="G51">
        <v>7671</v>
      </c>
      <c r="J51" t="s">
        <v>6</v>
      </c>
      <c r="K51" t="s">
        <v>5</v>
      </c>
      <c r="L51" s="2">
        <v>2.3781E-2</v>
      </c>
      <c r="M51" s="2">
        <v>1.6638E-2</v>
      </c>
      <c r="N51">
        <v>19359</v>
      </c>
      <c r="O51">
        <v>18905</v>
      </c>
      <c r="R51" t="s">
        <v>6</v>
      </c>
      <c r="S51" t="s">
        <v>5</v>
      </c>
      <c r="T51">
        <v>2.3268626939354331E-2</v>
      </c>
      <c r="U51">
        <v>1.9386713800190095E-2</v>
      </c>
      <c r="V51">
        <v>10596</v>
      </c>
      <c r="W51">
        <v>9568</v>
      </c>
    </row>
    <row r="52" spans="2:24" x14ac:dyDescent="0.2">
      <c r="B52" t="s">
        <v>7</v>
      </c>
      <c r="C52" t="s">
        <v>5</v>
      </c>
      <c r="D52">
        <v>0.89648810457797556</v>
      </c>
      <c r="E52">
        <v>0.60147999203412139</v>
      </c>
      <c r="F52">
        <v>11494</v>
      </c>
      <c r="G52">
        <v>11174</v>
      </c>
      <c r="J52" t="s">
        <v>7</v>
      </c>
      <c r="K52" t="s">
        <v>5</v>
      </c>
      <c r="L52" s="2">
        <v>0.72360599999999997</v>
      </c>
      <c r="M52" s="2">
        <v>0.74023899999999998</v>
      </c>
      <c r="N52">
        <v>22160</v>
      </c>
      <c r="O52">
        <v>22573</v>
      </c>
      <c r="R52" t="s">
        <v>7</v>
      </c>
      <c r="S52" t="s">
        <v>5</v>
      </c>
      <c r="T52">
        <v>5.1609133733230242E-2</v>
      </c>
      <c r="U52">
        <v>6.8707198009790846E-2</v>
      </c>
      <c r="V52">
        <v>9482</v>
      </c>
      <c r="W52">
        <v>9799</v>
      </c>
    </row>
    <row r="53" spans="2:24" x14ac:dyDescent="0.2">
      <c r="B53" t="s">
        <v>8</v>
      </c>
      <c r="C53" t="s">
        <v>5</v>
      </c>
      <c r="D53">
        <v>1.7349638335112993E-2</v>
      </c>
      <c r="E53">
        <v>2.5010163004167762E-2</v>
      </c>
      <c r="F53">
        <v>7430</v>
      </c>
      <c r="G53">
        <v>7901</v>
      </c>
      <c r="J53" t="s">
        <v>8</v>
      </c>
      <c r="K53" t="s">
        <v>5</v>
      </c>
      <c r="L53" s="2">
        <v>0.130356</v>
      </c>
      <c r="M53" s="2">
        <v>0.115411</v>
      </c>
      <c r="N53">
        <v>20175</v>
      </c>
      <c r="O53">
        <v>18651</v>
      </c>
      <c r="R53" t="s">
        <v>8</v>
      </c>
      <c r="S53" t="s">
        <v>5</v>
      </c>
      <c r="T53">
        <v>1.5418252728380644E-2</v>
      </c>
      <c r="U53">
        <v>1.6739324004297996E-2</v>
      </c>
      <c r="V53">
        <v>9468</v>
      </c>
      <c r="W53">
        <v>10398</v>
      </c>
    </row>
    <row r="54" spans="2:24" x14ac:dyDescent="0.2">
      <c r="B54" t="s">
        <v>9</v>
      </c>
      <c r="C54" t="s">
        <v>5</v>
      </c>
      <c r="D54">
        <v>0.60147999203412139</v>
      </c>
      <c r="E54">
        <v>0.64817381491721437</v>
      </c>
      <c r="F54">
        <v>9581</v>
      </c>
      <c r="G54">
        <v>9682</v>
      </c>
      <c r="J54" t="s">
        <v>9</v>
      </c>
      <c r="K54" t="s">
        <v>5</v>
      </c>
      <c r="L54" s="2">
        <v>2.488915</v>
      </c>
      <c r="M54" s="2">
        <v>2.2164069999999998</v>
      </c>
      <c r="N54">
        <v>54317</v>
      </c>
      <c r="O54">
        <v>41566</v>
      </c>
      <c r="R54" t="s">
        <v>9</v>
      </c>
      <c r="S54" t="s">
        <v>5</v>
      </c>
      <c r="T54">
        <v>4.1632300127113803E-2</v>
      </c>
      <c r="U54">
        <v>3.8469516283661298E-2</v>
      </c>
      <c r="V54">
        <v>10131</v>
      </c>
      <c r="W54">
        <v>12831</v>
      </c>
    </row>
    <row r="55" spans="2:24" x14ac:dyDescent="0.2">
      <c r="B55" t="s">
        <v>10</v>
      </c>
      <c r="C55" t="s">
        <v>5</v>
      </c>
      <c r="D55">
        <v>2.357573652870569E-2</v>
      </c>
      <c r="E55">
        <v>2.8399474521698002E-2</v>
      </c>
      <c r="F55">
        <v>7469</v>
      </c>
      <c r="G55">
        <v>7273</v>
      </c>
      <c r="J55" t="s">
        <v>10</v>
      </c>
      <c r="K55" t="s">
        <v>5</v>
      </c>
      <c r="L55" s="2">
        <v>7.3216000000000003E-2</v>
      </c>
      <c r="M55" s="2">
        <v>9.0361999999999998E-2</v>
      </c>
      <c r="N55">
        <v>20080</v>
      </c>
      <c r="O55">
        <v>18978</v>
      </c>
      <c r="R55" t="s">
        <v>10</v>
      </c>
      <c r="S55" t="s">
        <v>5</v>
      </c>
      <c r="T55">
        <v>2.0508876631540447E-2</v>
      </c>
      <c r="U55">
        <v>1.8469516283661322E-2</v>
      </c>
      <c r="V55">
        <v>10784</v>
      </c>
      <c r="W55">
        <v>11394</v>
      </c>
    </row>
    <row r="56" spans="2:24" x14ac:dyDescent="0.2">
      <c r="B56" t="s">
        <v>11</v>
      </c>
      <c r="C56" t="s">
        <v>5</v>
      </c>
      <c r="D56">
        <v>2.7371196796132015E-2</v>
      </c>
      <c r="E56">
        <v>2.9325829381828733E-2</v>
      </c>
      <c r="F56">
        <v>7595</v>
      </c>
      <c r="G56">
        <v>7330</v>
      </c>
      <c r="J56" t="s">
        <v>11</v>
      </c>
      <c r="K56" t="s">
        <v>5</v>
      </c>
      <c r="L56" s="2">
        <v>3.8220999999999998E-2</v>
      </c>
      <c r="M56" s="2">
        <v>3.4280999999999999E-2</v>
      </c>
      <c r="N56">
        <v>21248</v>
      </c>
      <c r="O56">
        <v>19069</v>
      </c>
      <c r="R56" t="s">
        <v>11</v>
      </c>
      <c r="S56" t="s">
        <v>5</v>
      </c>
      <c r="T56">
        <v>1.3693327132002567E-2</v>
      </c>
      <c r="U56">
        <v>1.6637641153023248E-2</v>
      </c>
      <c r="V56">
        <v>9298</v>
      </c>
      <c r="W56">
        <v>9591</v>
      </c>
    </row>
    <row r="57" spans="2:24" x14ac:dyDescent="0.2">
      <c r="B57" t="s">
        <v>12</v>
      </c>
      <c r="C57" t="s">
        <v>5</v>
      </c>
      <c r="D57">
        <v>9.6951526076450426E-2</v>
      </c>
      <c r="E57">
        <v>8.6320706466527161E-2</v>
      </c>
      <c r="F57">
        <v>7216</v>
      </c>
      <c r="G57">
        <v>7118</v>
      </c>
      <c r="J57" t="s">
        <v>12</v>
      </c>
      <c r="K57" t="s">
        <v>5</v>
      </c>
      <c r="L57" s="2">
        <v>0.18338199999999999</v>
      </c>
      <c r="M57" s="2">
        <v>0.130109</v>
      </c>
      <c r="N57">
        <v>19520</v>
      </c>
      <c r="O57">
        <v>18986</v>
      </c>
      <c r="R57" t="s">
        <v>12</v>
      </c>
      <c r="S57" t="s">
        <v>5</v>
      </c>
      <c r="T57">
        <v>5.0262421938394003E-2</v>
      </c>
      <c r="U57">
        <v>5.4456185796058855E-2</v>
      </c>
      <c r="V57">
        <v>10234</v>
      </c>
      <c r="W57">
        <v>10854</v>
      </c>
    </row>
    <row r="58" spans="2:24" x14ac:dyDescent="0.2">
      <c r="B58" t="s">
        <v>13</v>
      </c>
      <c r="C58" t="s">
        <v>14</v>
      </c>
      <c r="D58">
        <v>5.2978924790886617E-2</v>
      </c>
      <c r="E58">
        <v>5.26800531573745E-2</v>
      </c>
      <c r="F58">
        <v>7383</v>
      </c>
      <c r="G58">
        <v>5470</v>
      </c>
      <c r="J58" t="s">
        <v>13</v>
      </c>
      <c r="K58" t="s">
        <v>14</v>
      </c>
      <c r="L58" s="2">
        <v>1.1263E-2</v>
      </c>
      <c r="M58" s="2">
        <v>1.9285E-2</v>
      </c>
      <c r="N58">
        <v>27358</v>
      </c>
      <c r="O58">
        <v>22753</v>
      </c>
      <c r="R58" t="s">
        <v>13</v>
      </c>
      <c r="S58" t="s">
        <v>14</v>
      </c>
      <c r="T58">
        <v>1.4707628872274288E-2</v>
      </c>
      <c r="U58">
        <v>1.7146158834970514E-2</v>
      </c>
      <c r="V58">
        <v>8898</v>
      </c>
      <c r="W58">
        <v>8707</v>
      </c>
    </row>
    <row r="59" spans="2:24" x14ac:dyDescent="0.2">
      <c r="B59" t="s">
        <v>15</v>
      </c>
      <c r="C59" t="s">
        <v>14</v>
      </c>
      <c r="D59">
        <v>1.8469516283661322E-2</v>
      </c>
      <c r="E59">
        <v>1.5418252728380644E-2</v>
      </c>
      <c r="F59">
        <v>6962</v>
      </c>
      <c r="G59">
        <v>6872</v>
      </c>
      <c r="J59" t="s">
        <v>15</v>
      </c>
      <c r="K59" t="s">
        <v>14</v>
      </c>
      <c r="L59" s="2">
        <v>8.6370000000000006E-3</v>
      </c>
      <c r="M59" s="2">
        <v>1.0454E-2</v>
      </c>
      <c r="N59">
        <v>33132</v>
      </c>
      <c r="O59">
        <v>23253</v>
      </c>
      <c r="R59" t="s">
        <v>15</v>
      </c>
      <c r="S59" t="s">
        <v>14</v>
      </c>
      <c r="T59">
        <v>2.061095390412435E-2</v>
      </c>
      <c r="U59">
        <v>1.9590649765004148E-2</v>
      </c>
      <c r="V59">
        <v>7414</v>
      </c>
      <c r="W59">
        <v>11052</v>
      </c>
    </row>
    <row r="60" spans="2:24" x14ac:dyDescent="0.2">
      <c r="B60" t="s">
        <v>16</v>
      </c>
      <c r="C60" t="s">
        <v>14</v>
      </c>
      <c r="D60">
        <v>1.3085239548655481E-2</v>
      </c>
      <c r="E60">
        <v>1.6129381929883644E-2</v>
      </c>
      <c r="F60">
        <v>6644</v>
      </c>
      <c r="G60">
        <v>7168</v>
      </c>
      <c r="J60" t="s">
        <v>16</v>
      </c>
      <c r="K60" t="s">
        <v>14</v>
      </c>
      <c r="L60" s="2">
        <v>8.8612999999999997E-2</v>
      </c>
      <c r="M60" s="2">
        <v>8.5776000000000005E-2</v>
      </c>
      <c r="N60">
        <v>18122</v>
      </c>
      <c r="O60">
        <v>18647</v>
      </c>
      <c r="R60" t="s">
        <v>16</v>
      </c>
      <c r="S60" t="s">
        <v>14</v>
      </c>
      <c r="T60">
        <v>1.633265462089761E-2</v>
      </c>
      <c r="U60">
        <v>1.7044434609258474E-2</v>
      </c>
      <c r="V60">
        <v>8471</v>
      </c>
      <c r="W60">
        <v>10918</v>
      </c>
    </row>
    <row r="61" spans="2:24" x14ac:dyDescent="0.2">
      <c r="B61" t="s">
        <v>17</v>
      </c>
      <c r="C61" t="s">
        <v>14</v>
      </c>
      <c r="D61">
        <v>1.92425813669325E-2</v>
      </c>
      <c r="E61">
        <v>1.3896105192111352E-2</v>
      </c>
      <c r="F61">
        <v>6822</v>
      </c>
      <c r="G61">
        <v>6762</v>
      </c>
      <c r="J61" t="s">
        <v>17</v>
      </c>
      <c r="K61" t="s">
        <v>14</v>
      </c>
      <c r="L61" s="2">
        <v>1.4099E-2</v>
      </c>
      <c r="M61" s="2">
        <v>1.9897000000000001E-2</v>
      </c>
      <c r="N61">
        <v>22808</v>
      </c>
      <c r="O61">
        <v>21508</v>
      </c>
      <c r="R61" t="s">
        <v>17</v>
      </c>
      <c r="S61" t="s">
        <v>14</v>
      </c>
      <c r="T61">
        <v>1.3287894326935407E-2</v>
      </c>
      <c r="U61">
        <v>1.7146158834970514E-2</v>
      </c>
      <c r="V61">
        <v>11491</v>
      </c>
      <c r="W61">
        <v>10910</v>
      </c>
    </row>
    <row r="62" spans="2:24" x14ac:dyDescent="0.2">
      <c r="B62" t="s">
        <v>18</v>
      </c>
      <c r="C62" t="s">
        <v>14</v>
      </c>
      <c r="D62">
        <v>1.16678048676821E-2</v>
      </c>
      <c r="E62">
        <v>1.0757656652960208E-2</v>
      </c>
      <c r="F62">
        <v>6751</v>
      </c>
      <c r="G62">
        <v>6054</v>
      </c>
      <c r="J62" t="s">
        <v>18</v>
      </c>
      <c r="K62" t="s">
        <v>14</v>
      </c>
      <c r="L62" s="2">
        <v>3.0252999999999999E-2</v>
      </c>
      <c r="M62" s="2">
        <v>3.1078000000000001E-2</v>
      </c>
      <c r="N62">
        <v>20789</v>
      </c>
      <c r="O62">
        <v>19834</v>
      </c>
      <c r="R62" t="s">
        <v>18</v>
      </c>
      <c r="S62" t="s">
        <v>14</v>
      </c>
      <c r="T62">
        <v>1.7349638335112993E-2</v>
      </c>
      <c r="U62">
        <v>1.2882625831013718E-2</v>
      </c>
      <c r="V62">
        <v>10288</v>
      </c>
      <c r="W62">
        <v>11716</v>
      </c>
    </row>
    <row r="63" spans="2:24" x14ac:dyDescent="0.2">
      <c r="B63" t="s">
        <v>19</v>
      </c>
      <c r="C63" t="s">
        <v>14</v>
      </c>
      <c r="D63">
        <v>3.23478636639076E-2</v>
      </c>
      <c r="E63">
        <v>4.5729851706174329E-2</v>
      </c>
      <c r="F63">
        <v>7072</v>
      </c>
      <c r="G63">
        <v>7078</v>
      </c>
      <c r="J63" t="s">
        <v>19</v>
      </c>
      <c r="K63" t="s">
        <v>14</v>
      </c>
      <c r="L63" s="2">
        <v>3.6496590000000002</v>
      </c>
      <c r="M63" s="2">
        <v>3.6119180000000002</v>
      </c>
      <c r="N63">
        <v>129635</v>
      </c>
      <c r="O63">
        <v>109301</v>
      </c>
      <c r="R63" t="s">
        <v>19</v>
      </c>
      <c r="S63" t="s">
        <v>14</v>
      </c>
      <c r="T63">
        <v>0.23319388716771114</v>
      </c>
      <c r="U63">
        <v>0.21940056503537533</v>
      </c>
      <c r="V63">
        <v>9485</v>
      </c>
      <c r="W63">
        <v>9736</v>
      </c>
    </row>
    <row r="64" spans="2:24" x14ac:dyDescent="0.2">
      <c r="B64" t="s">
        <v>20</v>
      </c>
      <c r="C64" t="s">
        <v>14</v>
      </c>
      <c r="D64">
        <v>1.8877055769689184E-2</v>
      </c>
      <c r="E64">
        <v>2.2143364685689858E-2</v>
      </c>
      <c r="F64">
        <v>8020</v>
      </c>
      <c r="G64">
        <v>7222</v>
      </c>
      <c r="J64" t="s">
        <v>20</v>
      </c>
      <c r="K64" t="s">
        <v>14</v>
      </c>
      <c r="L64" s="2">
        <v>0.11205</v>
      </c>
      <c r="M64" s="2">
        <v>0.108699</v>
      </c>
      <c r="N64">
        <v>21471</v>
      </c>
      <c r="O64">
        <v>21408</v>
      </c>
      <c r="R64" t="s">
        <v>20</v>
      </c>
      <c r="S64" t="s">
        <v>14</v>
      </c>
      <c r="T64">
        <v>1.7858518301313193E-2</v>
      </c>
      <c r="U64">
        <v>1.3186561804175559E-2</v>
      </c>
      <c r="V64">
        <v>8774</v>
      </c>
      <c r="W64">
        <v>12077</v>
      </c>
    </row>
    <row r="65" spans="2:23" x14ac:dyDescent="0.2">
      <c r="B65" t="s">
        <v>21</v>
      </c>
      <c r="C65" t="s">
        <v>14</v>
      </c>
      <c r="D65">
        <v>1.7349638335112993E-2</v>
      </c>
      <c r="E65">
        <v>2.1223636451626688E-2</v>
      </c>
      <c r="F65">
        <v>7535</v>
      </c>
      <c r="G65">
        <v>7478</v>
      </c>
      <c r="J65" t="s">
        <v>21</v>
      </c>
      <c r="K65" t="s">
        <v>14</v>
      </c>
      <c r="L65" s="2">
        <v>9.8480000000000009E-3</v>
      </c>
      <c r="M65" s="2">
        <v>6.8230000000000001E-3</v>
      </c>
      <c r="N65">
        <v>25117</v>
      </c>
      <c r="O65">
        <v>25966</v>
      </c>
      <c r="R65" t="s">
        <v>21</v>
      </c>
      <c r="S65" t="s">
        <v>14</v>
      </c>
      <c r="T65">
        <v>1.92847614118671E-2</v>
      </c>
      <c r="U65">
        <v>2.132578671475243E-2</v>
      </c>
      <c r="V65">
        <v>12490</v>
      </c>
      <c r="W65">
        <v>11198</v>
      </c>
    </row>
    <row r="66" spans="2:23" x14ac:dyDescent="0.2">
      <c r="B66" t="s">
        <v>22</v>
      </c>
      <c r="C66" t="s">
        <v>23</v>
      </c>
      <c r="D66">
        <v>1.633265462089761E-2</v>
      </c>
      <c r="E66">
        <v>1.2578782206860073E-2</v>
      </c>
      <c r="F66">
        <v>7205</v>
      </c>
      <c r="G66">
        <v>6860</v>
      </c>
      <c r="J66" t="s">
        <v>22</v>
      </c>
      <c r="K66" t="s">
        <v>23</v>
      </c>
      <c r="L66" s="2">
        <v>0.30245699999999998</v>
      </c>
      <c r="M66" s="2">
        <v>0.24590100000000001</v>
      </c>
      <c r="N66">
        <v>19983</v>
      </c>
      <c r="O66">
        <v>18830</v>
      </c>
      <c r="R66" t="s">
        <v>22</v>
      </c>
      <c r="S66" t="s">
        <v>23</v>
      </c>
      <c r="T66">
        <v>1.4504686202881688E-2</v>
      </c>
      <c r="U66">
        <v>2.296161163734704E-2</v>
      </c>
      <c r="V66">
        <v>9880</v>
      </c>
      <c r="W66">
        <v>9884</v>
      </c>
    </row>
    <row r="67" spans="2:23" x14ac:dyDescent="0.2">
      <c r="B67" t="s">
        <v>24</v>
      </c>
      <c r="C67" t="s">
        <v>23</v>
      </c>
      <c r="D67">
        <v>1.6841017196026556E-2</v>
      </c>
      <c r="E67">
        <v>1.9386713800190095E-2</v>
      </c>
      <c r="F67">
        <v>7335</v>
      </c>
      <c r="G67">
        <v>7936</v>
      </c>
      <c r="J67" t="s">
        <v>24</v>
      </c>
      <c r="K67" t="s">
        <v>23</v>
      </c>
      <c r="L67" s="2">
        <v>1.5011999999999999E-2</v>
      </c>
      <c r="M67" s="2">
        <v>1.1971000000000001E-2</v>
      </c>
      <c r="N67">
        <v>21955</v>
      </c>
      <c r="O67">
        <v>23253</v>
      </c>
      <c r="R67" t="s">
        <v>24</v>
      </c>
      <c r="S67" t="s">
        <v>23</v>
      </c>
      <c r="T67">
        <v>4.625338451746204E-2</v>
      </c>
      <c r="U67">
        <v>3.0665414310885153E-2</v>
      </c>
      <c r="V67">
        <v>8888</v>
      </c>
      <c r="W67">
        <v>11610</v>
      </c>
    </row>
    <row r="68" spans="2:23" x14ac:dyDescent="0.2">
      <c r="B68" t="s">
        <v>25</v>
      </c>
      <c r="C68" t="s">
        <v>23</v>
      </c>
      <c r="D68">
        <v>0.13010868534702039</v>
      </c>
      <c r="E68">
        <v>0.11878353598996698</v>
      </c>
      <c r="F68">
        <v>4886</v>
      </c>
      <c r="G68">
        <v>4693</v>
      </c>
      <c r="J68" t="s">
        <v>25</v>
      </c>
      <c r="K68" t="s">
        <v>23</v>
      </c>
      <c r="L68" s="2">
        <v>7.8718999999999997E-2</v>
      </c>
      <c r="M68" s="2">
        <v>6.6888000000000003E-2</v>
      </c>
      <c r="N68">
        <v>18190</v>
      </c>
      <c r="O68">
        <v>18553</v>
      </c>
      <c r="R68" t="s">
        <v>25</v>
      </c>
      <c r="S68" t="s">
        <v>23</v>
      </c>
      <c r="T68">
        <v>0.164005329975912</v>
      </c>
      <c r="U68">
        <v>0.16081213939675701</v>
      </c>
      <c r="V68">
        <v>9840</v>
      </c>
      <c r="W68">
        <v>11902</v>
      </c>
    </row>
    <row r="69" spans="2:23" x14ac:dyDescent="0.2">
      <c r="B69" t="s">
        <v>26</v>
      </c>
      <c r="C69" t="s">
        <v>23</v>
      </c>
      <c r="D69">
        <v>1.5926150550259255E-2</v>
      </c>
      <c r="E69">
        <v>1.7349638335112993E-2</v>
      </c>
      <c r="F69">
        <v>7141</v>
      </c>
      <c r="G69">
        <v>7580</v>
      </c>
      <c r="J69" t="s">
        <v>26</v>
      </c>
      <c r="K69" t="s">
        <v>23</v>
      </c>
      <c r="L69" s="2">
        <v>1.0151E-2</v>
      </c>
      <c r="M69" s="2">
        <v>8.6370000000000006E-3</v>
      </c>
      <c r="N69">
        <v>35446</v>
      </c>
      <c r="O69">
        <v>31360</v>
      </c>
      <c r="R69" t="s">
        <v>26</v>
      </c>
      <c r="S69" t="s">
        <v>23</v>
      </c>
      <c r="T69">
        <v>1.8062142818408518E-2</v>
      </c>
      <c r="U69">
        <v>1.6434306463424773E-2</v>
      </c>
      <c r="V69">
        <v>10312</v>
      </c>
      <c r="W69">
        <v>9838</v>
      </c>
    </row>
    <row r="70" spans="2:23" x14ac:dyDescent="0.2">
      <c r="B70" t="s">
        <v>27</v>
      </c>
      <c r="C70" t="s">
        <v>23</v>
      </c>
      <c r="D70">
        <v>2.132578671475243E-2</v>
      </c>
      <c r="E70">
        <v>1.8775155326333979E-2</v>
      </c>
      <c r="F70">
        <v>7345</v>
      </c>
      <c r="G70">
        <v>6883</v>
      </c>
      <c r="J70" t="s">
        <v>27</v>
      </c>
      <c r="K70" t="s">
        <v>23</v>
      </c>
      <c r="L70" s="2">
        <v>7.528E-3</v>
      </c>
      <c r="M70" s="2">
        <v>9.0410000000000004E-3</v>
      </c>
      <c r="N70">
        <v>28443</v>
      </c>
      <c r="O70">
        <v>23759</v>
      </c>
      <c r="R70" t="s">
        <v>27</v>
      </c>
      <c r="S70" t="s">
        <v>23</v>
      </c>
      <c r="T70">
        <v>1.7044434609258474E-2</v>
      </c>
      <c r="U70">
        <v>1.0858743334875945E-2</v>
      </c>
      <c r="V70">
        <v>7422</v>
      </c>
      <c r="W70">
        <v>8975</v>
      </c>
    </row>
    <row r="71" spans="2:23" x14ac:dyDescent="0.2">
      <c r="B71" t="s">
        <v>28</v>
      </c>
      <c r="C71" t="s">
        <v>23</v>
      </c>
      <c r="D71">
        <v>4.7636648715811303E-2</v>
      </c>
      <c r="E71">
        <v>3.9052727263700952E-2</v>
      </c>
      <c r="F71">
        <v>7037</v>
      </c>
      <c r="G71">
        <v>6725</v>
      </c>
      <c r="J71" t="s">
        <v>28</v>
      </c>
      <c r="K71" t="s">
        <v>23</v>
      </c>
      <c r="L71" s="2">
        <v>3.4694999999999997E-2</v>
      </c>
      <c r="M71" s="2">
        <v>3.5213000000000001E-2</v>
      </c>
      <c r="N71">
        <v>20382</v>
      </c>
      <c r="O71">
        <v>20498</v>
      </c>
      <c r="R71" t="s">
        <v>28</v>
      </c>
      <c r="S71" t="s">
        <v>23</v>
      </c>
      <c r="T71">
        <v>1.9182819416773987E-2</v>
      </c>
      <c r="U71">
        <v>2.040680977766262E-2</v>
      </c>
      <c r="V71">
        <v>7423</v>
      </c>
      <c r="W71">
        <v>10412</v>
      </c>
    </row>
    <row r="72" spans="2:23" x14ac:dyDescent="0.2">
      <c r="B72" t="s">
        <v>29</v>
      </c>
      <c r="C72" t="s">
        <v>23</v>
      </c>
      <c r="D72">
        <v>2.8140375327935001E-2</v>
      </c>
      <c r="E72">
        <v>2.6857454169882642E-2</v>
      </c>
      <c r="F72">
        <v>7962</v>
      </c>
      <c r="G72">
        <v>7119</v>
      </c>
      <c r="J72" t="s">
        <v>29</v>
      </c>
      <c r="K72" t="s">
        <v>23</v>
      </c>
      <c r="L72" s="2">
        <v>9.3439999999999999E-3</v>
      </c>
      <c r="M72" s="2">
        <v>7.7299999999999999E-3</v>
      </c>
      <c r="N72">
        <v>28301</v>
      </c>
      <c r="O72">
        <v>29963</v>
      </c>
      <c r="R72" t="s">
        <v>29</v>
      </c>
      <c r="S72" t="s">
        <v>23</v>
      </c>
      <c r="T72">
        <v>2.061095390412435E-2</v>
      </c>
      <c r="U72">
        <v>1.4910612735754241E-2</v>
      </c>
      <c r="V72">
        <v>10023</v>
      </c>
      <c r="W72">
        <v>8772</v>
      </c>
    </row>
    <row r="73" spans="2:23" x14ac:dyDescent="0.2">
      <c r="B73" t="s">
        <v>30</v>
      </c>
      <c r="C73" t="s">
        <v>23</v>
      </c>
      <c r="D73">
        <v>2.275698712261618E-2</v>
      </c>
      <c r="E73">
        <v>2.071304159754157E-2</v>
      </c>
      <c r="F73">
        <v>8234</v>
      </c>
      <c r="G73">
        <v>6871</v>
      </c>
      <c r="J73" t="s">
        <v>30</v>
      </c>
      <c r="K73" t="s">
        <v>23</v>
      </c>
      <c r="L73" s="2">
        <v>7.8309999999999994E-3</v>
      </c>
      <c r="M73" s="2">
        <v>6.1190000000000003E-3</v>
      </c>
      <c r="N73">
        <v>23260</v>
      </c>
      <c r="O73">
        <v>21374</v>
      </c>
      <c r="R73" t="s">
        <v>30</v>
      </c>
      <c r="S73" t="s">
        <v>23</v>
      </c>
      <c r="T73">
        <v>2.061095390412435E-2</v>
      </c>
      <c r="U73">
        <v>1.6129381929883644E-2</v>
      </c>
      <c r="V73">
        <v>9680</v>
      </c>
      <c r="W73">
        <v>8475</v>
      </c>
    </row>
    <row r="75" spans="2:23" x14ac:dyDescent="0.2">
      <c r="L75" s="2"/>
      <c r="M75" s="2"/>
    </row>
    <row r="76" spans="2:23" x14ac:dyDescent="0.2">
      <c r="L76" s="2"/>
      <c r="M76" s="2"/>
    </row>
    <row r="77" spans="2:23" x14ac:dyDescent="0.2">
      <c r="L77" s="2"/>
      <c r="M77" s="2"/>
    </row>
    <row r="78" spans="2:23" x14ac:dyDescent="0.2">
      <c r="L78" s="2"/>
      <c r="M78" s="2"/>
    </row>
    <row r="81" spans="12:13" x14ac:dyDescent="0.2">
      <c r="L81" s="2"/>
      <c r="M81" s="2"/>
    </row>
    <row r="82" spans="12:13" x14ac:dyDescent="0.2">
      <c r="L82" s="2"/>
      <c r="M82" s="2"/>
    </row>
    <row r="83" spans="12:13" x14ac:dyDescent="0.2">
      <c r="L83" s="2"/>
      <c r="M83" s="2"/>
    </row>
    <row r="84" spans="12:13" x14ac:dyDescent="0.2">
      <c r="L84" s="2"/>
      <c r="M84" s="2"/>
    </row>
  </sheetData>
  <conditionalFormatting sqref="T50:U73">
    <cfRule type="cellIs" dxfId="0" priority="1" operator="lessThan">
      <formula>$S$48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Stephanie J.</dc:creator>
  <cp:lastModifiedBy>Gibson, Travis E.</cp:lastModifiedBy>
  <dcterms:created xsi:type="dcterms:W3CDTF">2025-08-18T01:48:34Z</dcterms:created>
  <dcterms:modified xsi:type="dcterms:W3CDTF">2025-10-31T20:05:18Z</dcterms:modified>
</cp:coreProperties>
</file>