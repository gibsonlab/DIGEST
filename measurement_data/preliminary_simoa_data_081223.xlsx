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g14/Library/CloudStorage/Dropbox/Walt:Gibson lab shared folder/final_paper/preliminary_analysis_simoa_rtqpcr_spike/data/preliminary_simoa/"/>
    </mc:Choice>
  </mc:AlternateContent>
  <xr:revisionPtr revIDLastSave="0" documentId="13_ncr:1_{2F2B495B-1E53-D44C-9E38-A19AE4C6525C}" xr6:coauthVersionLast="47" xr6:coauthVersionMax="47" xr10:uidLastSave="{00000000-0000-0000-0000-000000000000}"/>
  <bookViews>
    <workbookView xWindow="7960" yWindow="3020" windowWidth="31780" windowHeight="22480" activeTab="1" xr2:uid="{00000000-000D-0000-FFFF-FFFF00000000}"/>
  </bookViews>
  <sheets>
    <sheet name="raw data" sheetId="1" r:id="rId1"/>
    <sheet name="analyzed data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F3" i="2"/>
  <c r="T52" i="2"/>
  <c r="N21" i="2"/>
  <c r="T21" i="2"/>
  <c r="N42" i="2"/>
  <c r="N43" i="2"/>
  <c r="AJ17" i="2"/>
  <c r="AI17" i="2"/>
  <c r="AE17" i="2"/>
  <c r="H3" i="2"/>
  <c r="AH4" i="2"/>
  <c r="Y57" i="2"/>
  <c r="X57" i="2"/>
  <c r="W57" i="2"/>
  <c r="Y56" i="2"/>
  <c r="X56" i="2"/>
  <c r="W56" i="2"/>
  <c r="Y55" i="2"/>
  <c r="X55" i="2"/>
  <c r="W55" i="2"/>
  <c r="Y54" i="2"/>
  <c r="X54" i="2"/>
  <c r="W54" i="2"/>
  <c r="Y53" i="2"/>
  <c r="X53" i="2"/>
  <c r="W53" i="2"/>
  <c r="Y52" i="2"/>
  <c r="X52" i="2"/>
  <c r="W52" i="2"/>
  <c r="Y50" i="2"/>
  <c r="X50" i="2"/>
  <c r="W50" i="2"/>
  <c r="Y49" i="2"/>
  <c r="X49" i="2"/>
  <c r="W49" i="2"/>
  <c r="Y48" i="2"/>
  <c r="X48" i="2"/>
  <c r="W48" i="2"/>
  <c r="Y47" i="2"/>
  <c r="X47" i="2"/>
  <c r="W47" i="2"/>
  <c r="Y46" i="2"/>
  <c r="X46" i="2"/>
  <c r="W46" i="2"/>
  <c r="Y45" i="2"/>
  <c r="X45" i="2"/>
  <c r="W45" i="2"/>
  <c r="Y43" i="2"/>
  <c r="X43" i="2"/>
  <c r="W43" i="2"/>
  <c r="Y42" i="2"/>
  <c r="X42" i="2"/>
  <c r="W42" i="2"/>
  <c r="Y41" i="2"/>
  <c r="X41" i="2"/>
  <c r="W41" i="2"/>
  <c r="Y40" i="2"/>
  <c r="X40" i="2"/>
  <c r="W40" i="2"/>
  <c r="Y39" i="2"/>
  <c r="X39" i="2"/>
  <c r="W39" i="2"/>
  <c r="Y38" i="2"/>
  <c r="X38" i="2"/>
  <c r="W38" i="2"/>
  <c r="Y31" i="2"/>
  <c r="Y32" i="2"/>
  <c r="Y33" i="2"/>
  <c r="Y34" i="2"/>
  <c r="Y35" i="2"/>
  <c r="X31" i="2"/>
  <c r="X32" i="2"/>
  <c r="X33" i="2"/>
  <c r="X34" i="2"/>
  <c r="X35" i="2"/>
  <c r="W31" i="2"/>
  <c r="W32" i="2"/>
  <c r="W33" i="2"/>
  <c r="W34" i="2"/>
  <c r="W35" i="2"/>
  <c r="X30" i="2"/>
  <c r="Y30" i="2"/>
  <c r="W30" i="2"/>
  <c r="Y24" i="2"/>
  <c r="Y25" i="2"/>
  <c r="Y26" i="2"/>
  <c r="Y27" i="2"/>
  <c r="Y28" i="2"/>
  <c r="X24" i="2"/>
  <c r="X25" i="2"/>
  <c r="X26" i="2"/>
  <c r="X27" i="2"/>
  <c r="X28" i="2"/>
  <c r="W24" i="2"/>
  <c r="W25" i="2"/>
  <c r="W26" i="2"/>
  <c r="W27" i="2"/>
  <c r="W28" i="2"/>
  <c r="X23" i="2"/>
  <c r="Y23" i="2"/>
  <c r="W23" i="2"/>
  <c r="Y17" i="2"/>
  <c r="Y18" i="2"/>
  <c r="Y19" i="2"/>
  <c r="Y20" i="2"/>
  <c r="Y21" i="2"/>
  <c r="X17" i="2"/>
  <c r="X18" i="2"/>
  <c r="X19" i="2"/>
  <c r="X20" i="2"/>
  <c r="X21" i="2"/>
  <c r="W17" i="2"/>
  <c r="W18" i="2"/>
  <c r="W19" i="2"/>
  <c r="W20" i="2"/>
  <c r="W21" i="2"/>
  <c r="X16" i="2"/>
  <c r="Y16" i="2"/>
  <c r="W16" i="2"/>
  <c r="S57" i="2"/>
  <c r="S56" i="2"/>
  <c r="S55" i="2"/>
  <c r="S54" i="2"/>
  <c r="S53" i="2"/>
  <c r="S52" i="2"/>
  <c r="S50" i="2"/>
  <c r="S49" i="2"/>
  <c r="S48" i="2"/>
  <c r="S47" i="2"/>
  <c r="S46" i="2"/>
  <c r="S45" i="2"/>
  <c r="S43" i="2"/>
  <c r="S42" i="2"/>
  <c r="S41" i="2"/>
  <c r="S40" i="2"/>
  <c r="S39" i="2"/>
  <c r="S38" i="2"/>
  <c r="N57" i="2"/>
  <c r="N56" i="2"/>
  <c r="N55" i="2"/>
  <c r="N54" i="2"/>
  <c r="N53" i="2"/>
  <c r="N52" i="2"/>
  <c r="N50" i="2"/>
  <c r="N49" i="2"/>
  <c r="N48" i="2"/>
  <c r="N47" i="2"/>
  <c r="N46" i="2"/>
  <c r="N45" i="2"/>
  <c r="N41" i="2"/>
  <c r="N40" i="2"/>
  <c r="N39" i="2"/>
  <c r="N38" i="2"/>
  <c r="S35" i="2"/>
  <c r="S34" i="2"/>
  <c r="S33" i="2"/>
  <c r="S32" i="2"/>
  <c r="S31" i="2"/>
  <c r="S30" i="2"/>
  <c r="N35" i="2"/>
  <c r="N34" i="2"/>
  <c r="N33" i="2"/>
  <c r="N32" i="2"/>
  <c r="N31" i="2"/>
  <c r="N30" i="2"/>
  <c r="S28" i="2"/>
  <c r="S27" i="2"/>
  <c r="S26" i="2"/>
  <c r="S25" i="2"/>
  <c r="S24" i="2"/>
  <c r="S23" i="2"/>
  <c r="N28" i="2"/>
  <c r="N27" i="2"/>
  <c r="N26" i="2"/>
  <c r="N25" i="2"/>
  <c r="N24" i="2"/>
  <c r="N23" i="2"/>
  <c r="N16" i="2"/>
  <c r="S17" i="2"/>
  <c r="S18" i="2"/>
  <c r="S19" i="2"/>
  <c r="S20" i="2"/>
  <c r="S21" i="2"/>
  <c r="S16" i="2"/>
  <c r="T16" i="2" s="1"/>
  <c r="N17" i="2"/>
  <c r="N18" i="2"/>
  <c r="N19" i="2"/>
  <c r="N20" i="2"/>
  <c r="T14" i="2"/>
  <c r="T38" i="2" l="1"/>
  <c r="T39" i="2"/>
  <c r="T40" i="2"/>
  <c r="T41" i="2"/>
  <c r="T42" i="2"/>
  <c r="T43" i="2"/>
  <c r="T45" i="2"/>
  <c r="T46" i="2"/>
  <c r="T47" i="2"/>
  <c r="T48" i="2"/>
  <c r="T49" i="2"/>
  <c r="T50" i="2"/>
  <c r="T53" i="2"/>
  <c r="T54" i="2"/>
  <c r="T55" i="2"/>
  <c r="T56" i="2"/>
  <c r="T57" i="2"/>
  <c r="T30" i="2"/>
  <c r="T31" i="2"/>
  <c r="T32" i="2"/>
  <c r="T33" i="2"/>
  <c r="T34" i="2"/>
  <c r="T35" i="2"/>
  <c r="T20" i="2"/>
  <c r="T19" i="2"/>
  <c r="T18" i="2"/>
  <c r="T17" i="2"/>
  <c r="T23" i="2"/>
  <c r="T24" i="2"/>
  <c r="T25" i="2"/>
  <c r="T26" i="2"/>
  <c r="T27" i="2"/>
  <c r="T28" i="2"/>
</calcChain>
</file>

<file path=xl/sharedStrings.xml><?xml version="1.0" encoding="utf-8"?>
<sst xmlns="http://schemas.openxmlformats.org/spreadsheetml/2006/main" count="4120" uniqueCount="547">
  <si>
    <t>Sample Barcode</t>
  </si>
  <si>
    <t>Assay</t>
  </si>
  <si>
    <t>Plex</t>
  </si>
  <si>
    <t>Location</t>
  </si>
  <si>
    <t>Carrier Barcode</t>
  </si>
  <si>
    <t>Replicate AEB</t>
  </si>
  <si>
    <t>Mean AEB</t>
  </si>
  <si>
    <t>SD AEB</t>
  </si>
  <si>
    <t>CV AEB</t>
  </si>
  <si>
    <t>Replicate Conc.</t>
  </si>
  <si>
    <t>Mean Conc.</t>
  </si>
  <si>
    <t>SD Conc.</t>
  </si>
  <si>
    <t>CV Conc.</t>
  </si>
  <si>
    <t>Unit</t>
  </si>
  <si>
    <t>Estimated Time to Result</t>
  </si>
  <si>
    <t>Completion Date</t>
  </si>
  <si>
    <t>Job Status</t>
  </si>
  <si>
    <t>Job ID</t>
  </si>
  <si>
    <t>Flags</t>
  </si>
  <si>
    <t>Errors</t>
  </si>
  <si>
    <t>Batch Name</t>
  </si>
  <si>
    <t>Fraction On</t>
  </si>
  <si>
    <t>Isingle</t>
  </si>
  <si>
    <t>Analysis Mode</t>
  </si>
  <si>
    <t>Result Status</t>
  </si>
  <si>
    <t>Image Quality Score</t>
  </si>
  <si>
    <t>Ibead</t>
  </si>
  <si>
    <t>Number of Beads</t>
  </si>
  <si>
    <t>Sample Type</t>
  </si>
  <si>
    <t>Dilution Factor</t>
  </si>
  <si>
    <t>Dilution Description</t>
  </si>
  <si>
    <t>Extended Properties</t>
  </si>
  <si>
    <t>Calibrator A</t>
  </si>
  <si>
    <t>sz_tnfa</t>
  </si>
  <si>
    <t>CD9_488</t>
  </si>
  <si>
    <t>Plate 1 - Well A1</t>
  </si>
  <si>
    <t>P1</t>
  </si>
  <si>
    <t>Finished</t>
  </si>
  <si>
    <t>081123-szmp</t>
  </si>
  <si>
    <t>Digital</t>
  </si>
  <si>
    <t>Automatically Included</t>
  </si>
  <si>
    <t>Calibrator</t>
  </si>
  <si>
    <t>Neat</t>
  </si>
  <si>
    <t>0002_DecodingIntensityStdDev_577F1:35.693;0002_DecodingIntensityStdDev_577F2:65.380;0002_MeanDecodingIntensity_577F1:411.39;0002_MeanDecodingIntensity_577F2:419.18;0002AEB:00.0284;0002DecodingIntensityStdDev:337.151;0002DecodingIntensityStdDev_488:337.151;0002DecodingIntensityStdDev_647:5.019;0002DecodingIntensityStdDev_700:4.942;0002DecodingIntensityStdDev_750:6.067;0002F_on:0.0280;0002FillPercent:014.61;0002KineticInconsistentLower:0;0002KineticInconsistentMetadata:-476.228034581691|2.27;0002MeanDecodingIntensity:1619.63;0002MeanDecodingIntensity_488:1619.63;0002MeanDecodingIntensity_647:35.13;0002MeanDecodingIntensity_700:30.33;0002MeanDecodingIntensity_750:35.20;0002ReflectiveIntensity:13582.33;0002ReflectiveIntensityStdDev:615.164;0002SealTimeEstimate:21.6;0021_DecodingIntensityStdDev_577F1:30.757;0021_DecodingIntensityStdDev_577F2:56.495;0021_MeanDecodingIntensity_577F1:402.73;0021_MeanDecodingIntensity_577F2:407.23;0021AEB:00.0096;0021DecodingIntensityStdDev:86.324;0021DecodingIntensityStdDev_488:22.093;0021DecodingIntensityStdDev_647:86.324;0021DecodingIntensityStdDev_700:10.487;0021DecodingIntensityStdDev_750:6.568;0021F_on:0.0095;0021FillPercent:009.12;0021KineticInconsistentLower:0;0021KineticInconsistentMetadata:-499.104316498631|2.32;0021MeanDecodingIntensity:444.09;0021MeanDecodingIntensity_488:140.45;0021MeanDecodingIntensity_647:444.09;0021MeanDecodingIntensity_700:71.27;0021MeanDecodingIntensity_750:35.53;0021ReflectiveIntensity:13325.46;0021ReflectiveIntensityStdDev:537.349;0021SealTimeEstimate:20.8;0201_DecodingIntensityStdDev_577F1:27.074;0201_DecodingIntensityStdDev_577F2:44.051;0201_MeanDecodingIntensity_577F1:402.42;0201_MeanDecodingIntensity_577F2:407.28;0201AEB:00.0114;0201DecodingIntensityStdDev:110.773;0201DecodingIntensityStdDev_488:27.693;0201DecodingIntensityStdDev_647:23.211;0201DecodingIntensityStdDev_700:110.773;0201DecodingIntensityStdDev_750:11.639;0201F_on:0.0113;0201FillPercent:010.63;0201KineticInconsistentLower:0;0201KineticInconsistentMetadata:-551.551641556425|2.42;0201MeanDecodingIntensity:509.69;0201MeanDecodingIntensity_488:143.56;0201MeanDecodingIntensity_647:102.60;0201MeanDecodingIntensity_700:509.69;0201MeanDecodingIntensity_750:67.27;0201ReflectiveIntensity:13381.80;0201ReflectiveIntensityStdDev:563.220;0201SealTimeEstimate:19.2;2001_DecodingIntensityStdDev_577F1:34.724;2001_DecodingIntensityStdDev_577F2:61.069;2001_MeanDecodingIntensity_577F1:435.08;2001_MeanDecodingIntensity_577F2:440.77;2001AEB:00.0128;2001DecodingIntensityStdDev:235.664;2001DecodingIntensityStdDev_488:25.127;2001DecodingIntensityStdDev_647:5.689;2001DecodingIntensityStdDev_700:5.995;2001DecodingIntensityStdDev_750:235.664;2001F_on:0.0127;2001FillPercent:010.04;2001KineticInconsistentLower:0;2001KineticInconsistentMetadata:-563.005523556458|2.35;2001MeanDecodingIntensity:1022.42;2001MeanDecodingIntensity_488:142.26;2001MeanDecodingIntensity_647:38.50;2001MeanDecodingIntensity_700:34.93;2001MeanDecodingIntensity_750:1022.42;2001ReflectiveIntensity:13362.76;2001ReflectiveIntensityStdDev:564.023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12.44;Empties488F1MeanIntensity:67.34;Empties577F1IntensityStdDev:22.72;Empties577F1MeanIntensity:373.24;Empties577F2IntensityStdDev:27.31;Empties577F2MeanIntensity:371.57;Empties647F1IntensityStdDev:4.52;Empties647F1MeanIntensity:31.56;Empties700F1IntensityStdDev:4.55;Empties700F1MeanIntensity:29.41;Empties750F1IntensityStdDev:5.48;Empties750F1MeanIntensity:34.03;EmptiesIGrowth:777.02;EmptiesReflectiveIntensityStdDev:340.81;EmptiesReflectiveMeanIntensity:12067.95;Errors:;F2minusF1Shift:-1.0;FluorescenceClassification:Normal;Focus_FracImageLost:0.00;FocusScoresAvg:3.60;FocusScoresImageCenter:5.06;FocusScoresMax:5.18;FocusScoresMedian:3.67;FractionImageDebris:0.0633;FractionWellsDebris:0.0732;ImageQualityScoreIfUnpegged:1.00;IndexingWellsMissingFromFov:0;IndexingWellsTotalLostBothVisibleAndMissing:0;IndexingWellsVisibleInFovButRemoved:0;L1DR time (ms):29533;NetBeadFillRate:31.16;NormalizedFillPercentage:044.40;Notes:;NumberDecSaturated:0;NumberEmpties:67840;NumberFlagged_DeadPixels:85.0000;NumberFlagged_Debris:14096.0000;NumberFlagged_MissingNeighbor:2532.0000;NumberFlagged_OutOfBounds:4100.0000;NumberInvalidWells:18573;NumberPositiveEmpties:7;NumberPositives:1913;NumberResSaturated:0;NumberSaturatedWithoutDebris:0;NumberValidUnclassified:51861.00;NumberValidWells:173882;OddlyAggregatedFlag:2;OddlyAggregatedLocations:;OddlyAggregatedWorst:0;OffsetW488:( 1, 0 );OffsetW577:( 0, 0 );OffsetW647:( 0, 0 );OffsetW700:( 0, -1 );OffsetW750:( 1, -1 );ResorufinUnsaturated:0;ResorufinUnsaturatedMutated:0;ResorufinUnsaturaterNumberInFit:14;SaturatedDecodingWells:0;SuspiciousWells:21611;SuspiciousWellsFlagged:1;SuspiciousWellsLowerThreshold:6;Warnings:;WhiteLightChannelMedian:10016;XtalkSubregionsOutOfSpec:0</t>
  </si>
  <si>
    <t>0002_DecodingIntensityStdDev_577F1:30.429;0002_DecodingIntensityStdDev_577F2:67.492;0002_MeanDecodingIntensity_577F1:431.11;0002_MeanDecodingIntensity_577F2:435.75;0002AEB:00.0293;0002DecodingIntensityStdDev:365.758;0002DecodingIntensityStdDev_488:365.758;0002DecodingIntensityStdDev_647:5.133;0002DecodingIntensityStdDev_700:5.056;0002DecodingIntensityStdDev_750:6.516;0002F_on:0.0289;0002FillPercent:016.92;0002KineticInconsistentLower:0;0002KineticInconsistentMetadata:-1078.49705222102|3.65;0002MeanDecodingIntensity:1633.95;0002MeanDecodingIntensity_488:1633.95;0002MeanDecodingIntensity_647:35.07;0002MeanDecodingIntensity_700:30.52;0002MeanDecodingIntensity_750:35.56;0002ReflectiveIntensity:13485.19;0002ReflectiveIntensityStdDev:619.600;0002SealTimeEstimate:10.1;0021_DecodingIntensityStdDev_577F1:23.578;0021_DecodingIntensityStdDev_577F2:38.140;0021_MeanDecodingIntensity_577F1:422.49;0021_MeanDecodingIntensity_577F2:422.81;0021AEB:00.0095;0021DecodingIntensityStdDev:85.935;0021DecodingIntensityStdDev_488:22.597;0021DecodingIntensityStdDev_647:85.935;0021DecodingIntensityStdDev_700:10.374;0021DecodingIntensityStdDev_750:6.711;0021F_on:0.0095;0021FillPercent:010.11;0021KineticInconsistentLower:0;0021KineticInconsistentMetadata:-1040.7348001811|3.62;0021MeanDecodingIntensity:425.99;0021MeanDecodingIntensity_488:140.72;0021MeanDecodingIntensity_647:425.99;0021MeanDecodingIntensity_700:69.44;0021MeanDecodingIntensity_750:35.59;0021ReflectiveIntensity:13237.61;0021ReflectiveIntensityStdDev:500.605;0021SealTimeEstimate:10.3;0201_DecodingIntensityStdDev_577F1:24.814;0201_DecodingIntensityStdDev_577F2:45.242;0201_MeanDecodingIntensity_577F1:423.09;0201_MeanDecodingIntensity_577F2:424.45;0201AEB:00.0128;0201DecodingIntensityStdDev:125.959;0201DecodingIntensityStdDev_488:27.743;0201DecodingIntensityStdDev_647:25.246;0201DecodingIntensityStdDev_700:125.959;0201DecodingIntensityStdDev_750:11.792;0201F_on:0.0127;0201FillPercent:011.70;0201KineticInconsistentLower:0;0201KineticInconsistentMetadata:-1023.04841894584|3.58;0201MeanDecodingIntensity:505.36;0201MeanDecodingIntensity_488:143.97;0201MeanDecodingIntensity_647:100.14;0201MeanDecodingIntensity_700:505.36;0201MeanDecodingIntensity_750:65.74;0201ReflectiveIntensity:13307.91;0201ReflectiveIntensityStdDev:558.488;0201SealTimeEstimate:10.4;2001_DecodingIntensityStdDev_577F1:29.764;2001_DecodingIntensityStdDev_577F2:57.845;2001_MeanDecodingIntensity_577F1:453.41;2001_MeanDecodingIntensity_577F2:455.03;2001AEB:00.0143;2001DecodingIntensityStdDev:236.177;2001DecodingIntensityStdDev_488:26.877;2001DecodingIntensityStdDev_647:5.539;2001DecodingIntensityStdDev_700:5.941;2001DecodingIntensityStdDev_750:236.177;2001F_on:0.0142;2001FillPercent:011.11;2001KineticInconsistentLower:0;2001KineticInconsistentMetadata:-1002.25683794097|3.37;2001MeanDecodingIntensity:935.86;2001MeanDecodingIntensity_488:143.49;2001MeanDecodingIntensity_647:38.21;2001MeanDecodingIntensity_700:34.43;2001MeanDecodingIntensity_750:935.86;2001ReflectiveIntensity:13298.01;2001ReflectiveIntensityStdDev:553.816;2001SealTimeEstimate:11.4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12.15;Empties488F1MeanIntensity:71.24;Empties577F1IntensityStdDev:19.43;Empties577F1MeanIntensity:396.76;Empties577F2IntensityStdDev:21.58;Empties577F2MeanIntensity:390.80;Empties647F1IntensityStdDev:4.28;Empties647F1MeanIntensity:31.47;Empties700F1IntensityStdDev:4.30;Empties700F1MeanIntensity:29.41;Empties750F1IntensityStdDev:5.29;Empties750F1MeanIntensity:33.95;EmptiesIGrowth:407.09;EmptiesReflectiveIntensityStdDev:336.63;EmptiesReflectiveMeanIntensity:12040.25;Errors:;F2minusF1Shift:3.9;FluorescenceClassification:Normal;Focus_FracImageLost:0.00;FocusScoresAvg:3.81;FocusScoresImageCenter:4.67;FocusScoresMax:4.99;FocusScoresMedian:3.82;FractionImageDebris:0.0893;FractionWellsDebris:0.0946;ImageQualityScoreIfUnpegged:1.00;IndexingWellsMissingFromFov:0;IndexingWellsTotalLostBothVisibleAndMissing:0;IndexingWellsVisibleInFovButRemoved:0;L1DR time (ms):30217;NetBeadFillRate:34.98;NormalizedFillPercentage:049.85;Notes:Xtalk: usable out of spec wv 577 sr 4 dir 5 value 0.036.;NumberDecSaturated:0;NumberEmpties:58571;NumberFlagged_DeadPixels:70.0000;NumberFlagged_Debris:18166.0000;NumberFlagged_MissingNeighbor:3523.0000;NumberFlagged_OddlyRecurrentClassification:5909.0000;NumberFlagged_OutOfBounds:4125.0000;NumberInvalidWells:25544;NumberPositiveEmpties:15;NumberPositives:2148;NumberResSaturated:0;NumberSaturatedWithoutDebris:0;NumberValidUnclassified:49668.00;NumberValidWells:166460;OddlyAggregatedFlag:2;OddlyAggregatedLocations:;OddlyAggregatedWorst:0;OffsetW488:( 1, 0 );OffsetW577:( 0, 0 );OffsetW647:( 0, 0 );OffsetW700:( 0, -1 );OffsetW750:( 0, -1 );ResorufinUnsaturated:0;ResorufinUnsaturatedMutated:0;ResorufinUnsaturaterNumberInFit:4;SaturatedDecodingWells:0;SuspiciousWells:24077;SuspiciousWellsFlagged:1;SuspiciousWellsLowerThreshold:6;Warnings:;WhiteLightChannelMedian:9976;XtalkSubregionsOutOfSpec:0</t>
  </si>
  <si>
    <t>0002_DecodingIntensityStdDev_577F1:33.572;0002_DecodingIntensityStdDev_577F2:65.268;0002_MeanDecodingIntensity_577F1:418.83;0002_MeanDecodingIntensity_577F2:426.53;0002AEB:00.0299;0002DecodingIntensityStdDev:349.487;0002DecodingIntensityStdDev_488:349.487;0002DecodingIntensityStdDev_647:5.379;0002DecodingIntensityStdDev_700:5.234;0002DecodingIntensityStdDev_750:6.750;0002F_on:0.0295;0002FillPercent:016.12;0002KineticInconsistentLower:0;0002KineticInconsistentMetadata:-566.252057389945|2.4;0002MeanDecodingIntensity:1608.87;0002MeanDecodingIntensity_488:1608.87;0002MeanDecodingIntensity_647:35.27;0002MeanDecodingIntensity_700:30.50;0002MeanDecodingIntensity_750:35.74;0002ReflectiveIntensity:13546.63;0002ReflectiveIntensityStdDev:621.283;0002SealTimeEstimate:19.5;0021_DecodingIntensityStdDev_577F1:24.135;0021_DecodingIntensityStdDev_577F2:43.978;0021_MeanDecodingIntensity_577F1:410.13;0021_MeanDecodingIntensity_577F2:414.43;0021AEB:00.0117;0021DecodingIntensityStdDev:90.835;0021DecodingIntensityStdDev_488:25.917;0021DecodingIntensityStdDev_647:90.835;0021DecodingIntensityStdDev_700:11.037;0021DecodingIntensityStdDev_750:7.149;0021F_on:0.0117;0021FillPercent:009.97;0021KineticInconsistentLower:0;0021KineticInconsistentMetadata:-555.755196029391|2.4;0021MeanDecodingIntensity:438.12;0021MeanDecodingIntensity_488:143.48;0021MeanDecodingIntensity_647:438.12;0021MeanDecodingIntensity_700:71.11;0021MeanDecodingIntensity_750:35.88;0021ReflectiveIntensity:13307.68;0021ReflectiveIntensityStdDev:539.285;0021SealTimeEstimate:19.5;0201_DecodingIntensityStdDev_577F1:26.028;0201_DecodingIntensityStdDev_577F2:47.471;0201_MeanDecodingIntensity_577F1:409.91;0201_MeanDecodingIntensity_577F2:414.51;0201AEB:00.0125;0201DecodingIntensityStdDev:123.793;0201DecodingIntensityStdDev_488:32.071;0201DecodingIntensityStdDev_647:28.057;0201DecodingIntensityStdDev_700:123.793;0201DecodingIntensityStdDev_750:13.240;0201F_on:0.0124;0201FillPercent:011.75;0201KineticInconsistentLower:0;0201KineticInconsistentMetadata:-572.42804009411|2.42;0201MeanDecodingIntensity:513.88;0201MeanDecodingIntensity_488:147.34;0201MeanDecodingIntensity_647:103.84;0201MeanDecodingIntensity_700:513.88;0201MeanDecodingIntensity_750:68.35;0201ReflectiveIntensity:13371.01;0201ReflectiveIntensityStdDev:576.914;0201SealTimeEstimate:19.2;2001_DecodingIntensityStdDev_577F1:28.614;2001_DecodingIntensityStdDev_577F2:48.461;2001_MeanDecodingIntensity_577F1:441.43;2001_MeanDecodingIntensity_577F2:446.31;2001AEB:00.0125;2001DecodingIntensityStdDev:251.999;2001DecodingIntensityStdDev_488:44.622;2001DecodingIntensityStdDev_647:7.445;2001DecodingIntensityStdDev_700:6.743;2001DecodingIntensityStdDev_750:251.999;2001F_on:0.0125;2001FillPercent:011.22;2001KineticInconsistentLower:0;2001KineticInconsistentMetadata:-626.248909029562|2.46;2001MeanDecodingIntensity:993.61;2001MeanDecodingIntensity_488:148.34;2001MeanDecodingIntensity_647:38.85;2001MeanDecodingIntensity_700:35.08;2001MeanDecodingIntensity_750:993.61;2001ReflectiveIntensity:13367.75;2001ReflectiveIntensityStdDev:586.695;2001SealTimeEstimate:18.7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14.09;Empties488F1MeanIntensity:70.43;Empties577F1IntensityStdDev:15.40;Empties577F1MeanIntensity:383.01;Empties577F2IntensityStdDev:19.83;Empties577F2MeanIntensity:380.44;Empties647F1IntensityStdDev:4.86;Empties647F1MeanIntensity:31.74;Empties700F1IntensityStdDev:4.90;Empties700F1MeanIntensity:29.64;Empties750F1IntensityStdDev:6.05;Empties750F1MeanIntensity:34.20;EmptiesIGrowth:465.84;EmptiesReflectiveIntensityStdDev:364.21;EmptiesReflectiveMeanIntensity:12098.44;Errors:;F2minusF1Shift:0.0;FluorescenceClassification:Normal;Focus_FracImageLost:0.00;FocusScoresAvg:3.73;FocusScoresImageCenter:4.99;FocusScoresMax:5.46;FocusScoresMedian:3.72;FractionImageDebris:0.0873;FractionWellsDebris:0.0958;ImageQualityScoreIfUnpegged:1.00;IndexingWellsMissingFromFov:0;IndexingWellsTotalLostBothVisibleAndMissing:0;IndexingWellsVisibleInFovButRemoved:0;L1DR time (ms):29244;NetBeadFillRate:34.40;NormalizedFillPercentage:049.06;Notes:;NumberDecSaturated:0;NumberEmpties:60514;NumberFlagged_DeadPixels:65.0000;NumberFlagged_Debris:18411.0000;NumberFlagged_MissingNeighbor:2991.0000;NumberFlagged_OutOfBounds:4110.0000;NumberInvalidWells:22848;NumberPositiveEmpties:13;NumberPositives:2250;NumberResSaturated:0;NumberSaturatedWithoutDebris:0;NumberValidUnclassified:50613.00;NumberValidWells:169403;OddlyAggregatedFlag:2;OddlyAggregatedLocations:;OddlyAggregatedWorst:0;OffsetW488:( 0, 0 );OffsetW577:( 0, 0 );OffsetW647:( 0, 0 );OffsetW700:( 0, -1 );OffsetW750:( 1, -1 );ResorufinUnsaturated:0;ResorufinUnsaturatedMutated:0;ResorufinUnsaturaterNumberInFit:13;SaturatedDecodingWells:0;SuspiciousWells:25262;SuspiciousWellsFlagged:1;SuspiciousWellsLowerThreshold:6;Warnings:;WhiteLightChannelMedian:10034;XtalkSubregionsOutOfSpec:0</t>
  </si>
  <si>
    <t>NaN</t>
  </si>
  <si>
    <t>Calibrator B</t>
  </si>
  <si>
    <t>Plate 1 - Well B1</t>
  </si>
  <si>
    <t>0002_DecodingIntensityStdDev_577F1:31.078;0002_DecodingIntensityStdDev_577F2:61.103;0002_MeanDecodingIntensity_577F1:428.46;0002_MeanDecodingIntensity_577F2:432.67;0002AEB:00.0264;0002DecodingIntensityStdDev:346.603;0002DecodingIntensityStdDev_488:346.603;0002DecodingIntensityStdDev_647:4.932;0002DecodingIntensityStdDev_700:4.763;0002DecodingIntensityStdDev_750:5.984;0002F_on:0.0260;0002FillPercent:015.11;0002KineticInconsistentLower:0;0002KineticInconsistentMetadata:-848.958044428132|3.12;0002MeanDecodingIntensity:1573.50;0002MeanDecodingIntensity_488:1573.50;0002MeanDecodingIntensity_647:34.68;0002MeanDecodingIntensity_700:30.07;0002MeanDecodingIntensity_750:34.83;0002ReflectiveIntensity:13385.90;0002ReflectiveIntensityStdDev:588.950;0002SealTimeEstimate:12.7;0021_DecodingIntensityStdDev_577F1:24.769;0021_DecodingIntensityStdDev_577F2:42.053;0021_MeanDecodingIntensity_577F1:420.57;0021_MeanDecodingIntensity_577F2:421.90;0021AEB:00.0115;0021DecodingIntensityStdDev:77.244;0021DecodingIntensityStdDev_488:20.173;0021DecodingIntensityStdDev_647:77.244;0021DecodingIntensityStdDev_700:9.396;0021DecodingIntensityStdDev_750:6.025;0021F_on:0.0115;0021FillPercent:009.52;0021KineticInconsistentLower:0;0021KineticInconsistentMetadata:-933.927502449386|3.33;0021MeanDecodingIntensity:414.04;0021MeanDecodingIntensity_488:133.17;0021MeanDecodingIntensity_647:414.04;0021MeanDecodingIntensity_700:67.85;0021MeanDecodingIntensity_750:34.64;0021ReflectiveIntensity:13140.97;0021ReflectiveIntensityStdDev:471.961;0021SealTimeEstimate:11.6;0201_DecodingIntensityStdDev_577F1:25.924;0201_DecodingIntensityStdDev_577F2:46.090;0201_MeanDecodingIntensity_577F1:419.83;0201_MeanDecodingIntensity_577F2:421.37;0201AEB:00.0116;0201DecodingIntensityStdDev:100.025;0201DecodingIntensityStdDev_488:23.293;0201DecodingIntensityStdDev_647:14.274;0201DecodingIntensityStdDev_700:100.025;0201DecodingIntensityStdDev_750:9.823;0201F_on:0.0115;0201FillPercent:010.69;0201KineticInconsistentLower:0;0201KineticInconsistentMetadata:-893.626783908666|3.24;0201MeanDecodingIntensity:479.83;0201MeanDecodingIntensity_488:135.49;0201MeanDecodingIntensity_647:95.37;0201MeanDecodingIntensity_700:479.83;0201MeanDecodingIntensity_750:63.60;0201ReflectiveIntensity:13179.82;0201ReflectiveIntensityStdDev:490.938;0201SealTimeEstimate:12.0;2001_DecodingIntensityStdDev_577F1:28.757;2001_DecodingIntensityStdDev_577F2:48.003;2001_MeanDecodingIntensity_577F1:449.45;2001_MeanDecodingIntensity_577F2:451.28;2001AEB:00.0136;2001DecodingIntensityStdDev:199.245;2001DecodingIntensityStdDev_488:22.454;2001DecodingIntensityStdDev_647:5.422;2001DecodingIntensityStdDev_700:5.529;2001DecodingIntensityStdDev_750:199.245;2001F_on:0.0135;2001FillPercent:010.41;2001KineticInconsistentLower:0;2001KineticInconsistentMetadata:-976.263961065484|3.29;2001MeanDecodingIntensity:909.69;2001MeanDecodingIntensity_488:135.55;2001MeanDecodingIntensity_647:37.62;2001MeanDecodingIntensity_700:33.93;2001MeanDecodingIntensity_750:909.69;2001ReflectiveIntensity:13192.00;2001ReflectiveIntensityStdDev:516.041;2001SealTimeEstimate:11.8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10.86;Empties488F1MeanIntensity:67.82;Empties577F1IntensityStdDev:20.23;Empties577F1MeanIntensity:394.81;Empties577F2IntensityStdDev:21.31;Empties577F2MeanIntensity:389.03;Empties647F1IntensityStdDev:4.24;Empties647F1MeanIntensity:31.43;Empties700F1IntensityStdDev:4.17;Empties700F1MeanIntensity:29.21;Empties750F1IntensityStdDev:4.97;Empties750F1MeanIntensity:33.44;EmptiesIGrowth:295.89;EmptiesReflectiveIntensityStdDev:322.82;EmptiesReflectiveMeanIntensity:12068.16;Errors:;F2minusF1Shift:2.6;FluorescenceClassification:Normal;Focus_FracImageLost:0.00;FocusScoresAvg:3.65;FocusScoresImageCenter:4.94;FocusScoresMax:5.01;FocusScoresMedian:3.68;FractionImageDebris:0.0727;FractionWellsDebris:0.0836;ImageQualityScoreIfUnpegged:1.00;IndexingWellsMissingFromFov:0;IndexingWellsTotalLostBothVisibleAndMissing:0;IndexingWellsVisibleInFovButRemoved:0;L1DR time (ms):29516;NetBeadFillRate:32.11;NormalizedFillPercentage:045.72;Notes:;NumberDecSaturated:1;NumberEmpties:64680;NumberFlagged_DeadPixels:73.0000;NumberFlagged_Debris:16093.0000;NumberFlagged_MissingNeighbor:2787.0000;NumberFlagged_NeighborSaturated:06.0000;NumberFlagged_OddlyRecurrentClassification:2851.0000;NumberFlagged_OutOfBounds:4188.0000;NumberFlagged_SaturatedPixelDecodingFour:01.0000;NumberInvalidWells:22726;NumberPositiveEmpties:15;NumberPositives:1902;NumberResSaturated:0;NumberSaturatedWithoutDebris:1;NumberValidUnclassified:50544.00;NumberValidWells:169711;OddlyAggregatedFlag:2;OddlyAggregatedLocations:;OddlyAggregatedWorst:0;OffsetW488:( 1, 0 );OffsetW577:( 0, 0 );OffsetW647:( 0, 0 );OffsetW700:( 0, -1 );OffsetW750:( 1, -1 );ResorufinUnsaturated:0;ResorufinUnsaturatedMutated:0;ResorufinUnsaturaterNumberInFit:3;SaturatedDecodingWells:1;SuspiciousWells:29861;SuspiciousWellsFlagged:1;SuspiciousWellsLowerThreshold:4;Warnings:;WhiteLightChannelMedian:9888;XtalkSubregionsOutOfSpec:0</t>
  </si>
  <si>
    <t>0002_DecodingIntensityStdDev_577F1:32.481;0002_DecodingIntensityStdDev_577F2:66.328;0002_MeanDecodingIntensity_577F1:438.83;0002_MeanDecodingIntensity_577F2:442.47;0002AEB:00.0303;0002DecodingIntensityStdDev:333.789;0002DecodingIntensityStdDev_488:333.789;0002DecodingIntensityStdDev_647:4.937;0002DecodingIntensityStdDev_700:4.777;0002DecodingIntensityStdDev_750:5.986;0002F_on:0.0298;0002FillPercent:015.01;0002KineticInconsistentLower:0;0002KineticInconsistentMetadata:-797.749720571377|2.91;0002MeanDecodingIntensity:1557.28;0002MeanDecodingIntensity_488:1557.28;0002MeanDecodingIntensity_647:34.68;0002MeanDecodingIntensity_700:30.17;0002MeanDecodingIntensity_750:34.92;0002ReflectiveIntensity:13409.78;0002ReflectiveIntensityStdDev:561.311;0002SealTimeEstimate:14.2;0021_DecodingIntensityStdDev_577F1:25.323;0021_DecodingIntensityStdDev_577F2:43.993;0021_MeanDecodingIntensity_577F1:431.28;0021_MeanDecodingIntensity_577F2:431.17;0021AEB:00.0133;0021DecodingIntensityStdDev:77.954;0021DecodingIntensityStdDev_488:22.110;0021DecodingIntensityStdDev_647:77.954;0021DecodingIntensityStdDev_700:9.538;0021DecodingIntensityStdDev_750:6.170;0021F_on:0.0133;0021FillPercent:009.03;0021KineticInconsistentLower:0;0021KineticInconsistentMetadata:-829.272094120518|3.02;0021MeanDecodingIntensity:413.32;0021MeanDecodingIntensity_488:137.30;0021MeanDecodingIntensity_647:413.32;0021MeanDecodingIntensity_700:67.51;0021MeanDecodingIntensity_750:35.04;0021ReflectiveIntensity:13177.91;0021ReflectiveIntensityStdDev:461.545;0021SealTimeEstimate:13.4;0201_DecodingIntensityStdDev_577F1:26.432;0201_DecodingIntensityStdDev_577F2:47.633;0201_MeanDecodingIntensity_577F1:430.35;0201_MeanDecodingIntensity_577F2:430.26;0201AEB:00.0120;0201DecodingIntensityStdDev:98.430;0201DecodingIntensityStdDev_488:24.347;0201DecodingIntensityStdDev_647:14.553;0201DecodingIntensityStdDev_700:98.430;0201DecodingIntensityStdDev_750:11.604;0201F_on:0.0119;0201FillPercent:010.12;0201KineticInconsistentLower:0;0201KineticInconsistentMetadata:-835.403131120523|3.01;0201MeanDecodingIntensity:480.53;0201MeanDecodingIntensity_488:139.16;0201MeanDecodingIntensity_647:96.92;0201MeanDecodingIntensity_700:480.53;0201MeanDecodingIntensity_750:64.69;0201ReflectiveIntensity:13206.05;0201ReflectiveIntensityStdDev:473.111;0201SealTimeEstimate:13.4;2001_DecodingIntensityStdDev_577F1:30.285;2001_DecodingIntensityStdDev_577F2:55.521;2001_MeanDecodingIntensity_577F1:458.99;2001_MeanDecodingIntensity_577F2:459.39;2001AEB:00.0128;2001DecodingIntensityStdDev:195.660;2001DecodingIntensityStdDev_488:24.405;2001DecodingIntensityStdDev_647:5.423;2001DecodingIntensityStdDev_700:5.448;2001DecodingIntensityStdDev_750:195.660;2001F_on:0.0127;2001FillPercent:010.07;2001KineticInconsistentLower:0;2001KineticInconsistentMetadata:-904.893126507642|3.04;2001MeanDecodingIntensity:906.10;2001MeanDecodingIntensity_488:139.05;2001MeanDecodingIntensity_647:37.69;2001MeanDecodingIntensity_700:34.01;2001MeanDecodingIntensity_750:906.10;2001ReflectiveIntensity:13198.57;2001ReflectiveIntensityStdDev:489.121;2001SealTimeEstimate:13.2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12.41;Empties488F1MeanIntensity:72.78;Empties577F1IntensityStdDev:20.24;Empties577F1MeanIntensity:404.61;Empties577F2IntensityStdDev:21.02;Empties577F2MeanIntensity:397.47;Empties647F1IntensityStdDev:4.42;Empties647F1MeanIntensity:31.60;Empties700F1IntensityStdDev:4.35;Empties700F1MeanIntensity:29.39;Empties750F1IntensityStdDev:5.28;Empties750F1MeanIntensity:33.87;EmptiesIGrowth:358.93;EmptiesReflectiveIntensityStdDev:304.26;EmptiesReflectiveMeanIntensity:12056.66;Errors:;F2minusF1Shift:3.8;FluorescenceClassification:Normal;Focus_FracImageLost:0.00;FocusScoresAvg:3.50;FocusScoresImageCenter:4.41;FocusScoresMax:5.22;FocusScoresMedian:3.49;FractionImageDebris:0.0836;FractionWellsDebris:0.0869;ImageQualityScoreIfUnpegged:1.00;IndexingWellsMissingFromFov:0;IndexingWellsTotalLostBothVisibleAndMissing:0;IndexingWellsVisibleInFovButRemoved:0;L1DR time (ms):28844;NetBeadFillRate:31.05;NormalizedFillPercentage:044.23;Notes:;NumberDecSaturated:0;NumberEmpties:65195;NumberFlagged_DeadPixels:84.0000;NumberFlagged_Debris:16649.0000;NumberFlagged_MissingNeighbor:4144.0000;NumberFlagged_OddlyRecurrentClassification:8275.0000;NumberFlagged_OutOfBounds:4069.0000;NumberInvalidWells:25145;NumberPositiveEmpties:9;NumberPositives:1896;NumberResSaturated:0;NumberSaturatedWithoutDebris:0;NumberValidUnclassified:49611.00;NumberValidWells:166514;OddlyAggregatedFlag:2;OddlyAggregatedLocations:;OddlyAggregatedWorst:0;OffsetW488:( 1, 0 );OffsetW577:( 0, 0 );OffsetW647:( 0, 0 );OffsetW700:( 0, -1 );OffsetW750:( 0, -1 );ResorufinUnsaturated:0;ResorufinUnsaturatedMutated:0;ResorufinUnsaturaterNumberInFit:4;SaturatedDecodingWells:0;SuspiciousWells:27874;SuspiciousWellsFlagged:1;SuspiciousWellsLowerThreshold:4;Warnings:;WhiteLightChannelMedian:9937;XtalkSubregionsOutOfSpec:0</t>
  </si>
  <si>
    <t>0002_DecodingIntensityStdDev_577F1:31.902;0002_DecodingIntensityStdDev_577F2:61.160;0002_MeanDecodingIntensity_577F1:439.33;0002_MeanDecodingIntensity_577F2:440.45;0002AEB:00.0273;0002DecodingIntensityStdDev:352.653;0002DecodingIntensityStdDev_488:352.653;0002DecodingIntensityStdDev_647:4.874;0002DecodingIntensityStdDev_700:4.855;0002DecodingIntensityStdDev_750:5.977;0002F_on:0.0269;0002FillPercent:015.79;0002KineticInconsistentLower:0;0002KineticInconsistentMetadata:-888.751381428908|3.14;0002MeanDecodingIntensity:1608.92;0002MeanDecodingIntensity_488:1608.92;0002MeanDecodingIntensity_647:34.72;0002MeanDecodingIntensity_700:30.29;0002MeanDecodingIntensity_750:35.09;0002ReflectiveIntensity:13369.16;0002ReflectiveIntensityStdDev:573.645;0002SealTimeEstimate:12.6;0021_DecodingIntensityStdDev_577F1:24.758;0021_DecodingIntensityStdDev_577F2:39.152;0021_MeanDecodingIntensity_577F1:430.52;0021_MeanDecodingIntensity_577F2:428.58;0021AEB:00.0124;0021DecodingIntensityStdDev:79.814;0021DecodingIntensityStdDev_488:21.556;0021DecodingIntensityStdDev_647:79.814;0021DecodingIntensityStdDev_700:9.642;0021DecodingIntensityStdDev_750:6.098;0021F_on:0.0123;0021FillPercent:009.58;0021KineticInconsistentLower:0;0021KineticInconsistentMetadata:-901.493232103574|3.22;0021MeanDecodingIntensity:423.71;0021MeanDecodingIntensity_488:138.20;0021MeanDecodingIntensity_647:423.71;0021MeanDecodingIntensity_700:69.26;0021MeanDecodingIntensity_750:34.95;0021ReflectiveIntensity:13126.21;0021ReflectiveIntensityStdDev:475.647;0021SealTimeEstimate:12.1;0201_DecodingIntensityStdDev_577F1:26.290;0201_DecodingIntensityStdDev_577F2:45.480;0201_MeanDecodingIntensity_577F1:430.52;0201_MeanDecodingIntensity_577F2:428.96;0201AEB:00.0127;0201DecodingIntensityStdDev:109.042;0201DecodingIntensityStdDev_488:25.356;0201DecodingIntensityStdDev_647:17.820;0201DecodingIntensityStdDev_700:109.042;0201DecodingIntensityStdDev_750:10.199;0201F_on:0.0127;0201FillPercent:011.04;0201KineticInconsistentLower:0;0201KineticInconsistentMetadata:-856.62106955667|3.11;0201MeanDecodingIntensity:499.82;0201MeanDecodingIntensity_488:140.95;0201MeanDecodingIntensity_647:97.85;0201MeanDecodingIntensity_700:499.82;0201MeanDecodingIntensity_750:64.39;0201ReflectiveIntensity:13173.83;0201ReflectiveIntensityStdDev:499.729;0201SealTimeEstimate:12.8;2001_DecodingIntensityStdDev_577F1:28.909;2001_DecodingIntensityStdDev_577F2:47.975;2001_MeanDecodingIntensity_577F1:460.93;2001_MeanDecodingIntensity_577F2:459.39;2001AEB:00.0128;2001DecodingIntensityStdDev:200.353;2001DecodingIntensityStdDev_488:24.116;2001DecodingIntensityStdDev_647:5.333;2001DecodingIntensityStdDev_700:5.586;2001DecodingIntensityStdDev_750:200.353;2001F_on:0.0127;2001FillPercent:010.47;2001KineticInconsistentLower:0;2001KineticInconsistentMetadata:-1000.40847660083|3.25;2001MeanDecodingIntensity:926.18;2001MeanDecodingIntensity_488:140.52;2001MeanDecodingIntensity_647:37.76;2001MeanDecodingIntensity_700:34.22;2001MeanDecodingIntensity_750:926.18;2001ReflectiveIntensity:13167.12;2001ReflectiveIntensityStdDev:505.288;2001SealTimeEstimate:12.0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11.93;Empties488F1MeanIntensity:71.61;Empties577F1IntensityStdDev:21.47;Empties577F1MeanIntensity:405.37;Empties577F2IntensityStdDev:23.74;Empties577F2MeanIntensity:396.40;Empties647F1IntensityStdDev:4.23;Empties647F1MeanIntensity:31.40;Empties700F1IntensityStdDev:4.27;Empties700F1MeanIntensity:29.36;Empties750F1IntensityStdDev:5.07;Empties750F1MeanIntensity:33.70;EmptiesIGrowth:446.67;EmptiesReflectiveIntensityStdDev:299.08;EmptiesReflectiveMeanIntensity:11968.46;Errors:;F2minusF1Shift:5.8;FluorescenceClassification:Normal;Focus_FracImageLost:0.00;FocusScoresAvg:3.56;FocusScoresImageCenter:4.74;FocusScoresMax:5.20;FocusScoresMedian:3.64;FractionImageDebris:0.0747;FractionWellsDebris:0.0791;ImageQualityScoreIfUnpegged:1.00;IndexingWellsMissingFromFov:0;IndexingWellsTotalLostBothVisibleAndMissing:0;IndexingWellsVisibleInFovButRemoved:0;L1DR time (ms):28883;NetBeadFillRate:32.91;NormalizedFillPercentage:046.88;Notes:;NumberDecSaturated:0;NumberEmpties:61606;NumberFlagged_DeadPixels:61.0000;NumberFlagged_Debris:15201.0000;NumberFlagged_MissingNeighbor:3545.0000;NumberFlagged_OddlyRecurrentClassification:10118.0000;NumberFlagged_OutOfBounds:4156.0000;NumberInvalidWells:26937;NumberPositiveEmpties:13;NumberPositives:1956;NumberResSaturated:0;NumberSaturatedWithoutDebris:0;NumberValidUnclassified:49246.00;NumberValidWells:165231;OddlyAggregatedFlag:2;OddlyAggregatedLocations:;OddlyAggregatedWorst:0;OffsetW488:( 0, 0 );OffsetW577:( 0, 0 );OffsetW647:( 0, 0 );OffsetW700:( 0, 0 );OffsetW750:( 0, -1 );ResorufinUnsaturated:0;ResorufinUnsaturatedMutated:0;ResorufinUnsaturaterNumberInFit:5;SaturatedDecodingWells:0;SuspiciousWells:21080;SuspiciousWellsFlagged:1;SuspiciousWellsLowerThreshold:5;Warnings:;WhiteLightChannelMedian:9888;XtalkSubregionsOutOfSpec:0</t>
  </si>
  <si>
    <t>Calibrator C</t>
  </si>
  <si>
    <t>Plate 1 - Well C1</t>
  </si>
  <si>
    <t>DataReduction.L1.TooMuchDebrisException;DataReduction.L2.InvalidL1drResultException</t>
  </si>
  <si>
    <t>Automatically Excluded</t>
  </si>
  <si>
    <t>0002_DecodingIntensityStdDev_577F1:35.583;0002_DecodingIntensityStdDev_577F2:67.528;0002_MeanDecodingIntensity_577F1:417.26;0002_MeanDecodingIntensity_577F2:424.37;0002AEB:00.0275;0002DecodingIntensityStdDev:344.815;0002DecodingIntensityStdDev_488:344.815;0002DecodingIntensityStdDev_647:4.852;0002DecodingIntensityStdDev_700:4.672;0002DecodingIntensityStdDev_750:6.769;0002F_on:0.0272;0002FillPercent:014.06;0002KineticInconsistentLower:0;0002KineticInconsistentMetadata:-562.111358429627|2.42;0002MeanDecodingIntensity:1705.48;0002MeanDecodingIntensity_488:1705.48;0002MeanDecodingIntensity_647:35.01;0002MeanDecodingIntensity_700:30.34;0002MeanDecodingIntensity_750:35.03;0002ReflectiveIntensity:13471.67;0002ReflectiveIntensityStdDev:608.596;0002SealTimeEstimate:19.2;0021_DecodingIntensityStdDev_577F1:29.467;0021_DecodingIntensityStdDev_577F2:52.523;0021_MeanDecodingIntensity_577F1:408.72;0021_MeanDecodingIntensity_577F2:413.05;0021AEB:00.0110;0021DecodingIntensityStdDev:77.992;0021DecodingIntensityStdDev_488:21.014;0021DecodingIntensityStdDev_647:77.992;0021DecodingIntensityStdDev_700:9.569;0021DecodingIntensityStdDev_750:6.051;0021F_on:0.0110;0021FillPercent:008.63;0021KineticInconsistentLower:0;0021KineticInconsistentMetadata:-515.510663895024|2.36;0021MeanDecodingIntensity:446.20;0021MeanDecodingIntensity_488:141.86;0021MeanDecodingIntensity_647:446.20;0021MeanDecodingIntensity_700:71.97;0021MeanDecodingIntensity_750:34.95;0021ReflectiveIntensity:13190.58;0021ReflectiveIntensityStdDev:523.701;0021SealTimeEstimate:20.1;0201_DecodingIntensityStdDev_577F1:30.093;0201_DecodingIntensityStdDev_577F2:52.779;0201_MeanDecodingIntensity_577F1:408.69;0201_MeanDecodingIntensity_577F2:413.27;0201AEB:00.0115;0201DecodingIntensityStdDev:104.569;0201DecodingIntensityStdDev_488:23.166;0201DecodingIntensityStdDev_647:14.720;0201DecodingIntensityStdDev_700:104.569;0201DecodingIntensityStdDev_750:10.179;0201F_on:0.0114;0201FillPercent:009.75;0201KineticInconsistentLower:0;0201KineticInconsistentMetadata:-537.66210336625|2.4;0201MeanDecodingIntensity:529.85;0201MeanDecodingIntensity_488:143.78;0201MeanDecodingIntensity_647:100.15;0201MeanDecodingIntensity_700:529.85;0201MeanDecodingIntensity_750:66.27;0201ReflectiveIntensity:13231.15;0201ReflectiveIntensityStdDev:539.674;0201SealTimeEstimate:19.5;2001_DecodingIntensityStdDev_577F1:31.942;2001_DecodingIntensityStdDev_577F2:53.749;2001_MeanDecodingIntensity_577F1:440.02;2001_MeanDecodingIntensity_577F2:444.45;2001AEB:00.0124;2001DecodingIntensityStdDev:202.854;2001DecodingIntensityStdDev_488:23.286;2001DecodingIntensityStdDev_647:5.120;2001DecodingIntensityStdDev_700:5.409;2001DecodingIntensityStdDev_750:202.854;2001F_on:0.0123;2001FillPercent:009.44;2001KineticInconsistentLower:0;2001KineticInconsistentMetadata:-572.17874713422|2.37;2001MeanDecodingIntensity:979.79;2001MeanDecodingIntensity_488:144.16;2001MeanDecodingIntensity_647:38.27;2001MeanDecodingIntensity_700:34.37;2001MeanDecodingIntensity_750:979.79;2001ReflectiveIntensity:13219.39;2001ReflectiveIntensityStdDev:555.545;2001SealTimeEstimate:20.0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11.92;Empties488F1MeanIntensity:70.80;Empties577F1IntensityStdDev:23.21;Empties577F1MeanIntensity:374.69;Empties577F2IntensityStdDev:24.64;Empties577F2MeanIntensity:372.50;Empties647F1IntensityStdDev:4.25;Empties647F1MeanIntensity:31.62;Empties700F1IntensityStdDev:4.20;Empties700F1MeanIntensity:29.44;Empties750F1IntensityStdDev:5.08;Empties750F1MeanIntensity:33.70;EmptiesIGrowth:365.32;EmptiesReflectiveIntensityStdDev:349.59;EmptiesReflectiveMeanIntensity:11913.27;Errors:;F2minusF1Shift:-0.6;FluorescenceClassification:Normal;Focus_FracImageLost:0.00;FocusScoresAvg:3.58;FocusScoresImageCenter:4.10;FocusScoresMax:4.92;FocusScoresMedian:3.53;FractionImageDebris:0.0338;FractionWellsDebris:0.0399;ImageQualityScoreIfUnpegged:1.00;IndexingWellsMissingFromFov:0;IndexingWellsTotalLostBothVisibleAndMissing:0;IndexingWellsVisibleInFovButRemoved:0;L1DR time (ms):30420;NetBeadFillRate:29.42;NormalizedFillPercentage:041.89;Notes:;NumberDecSaturated:0;NumberEmpties:73646;NumberFlagged_DeadPixels:82.0000;NumberFlagged_Debris:7694.0000;NumberFlagged_MissingNeighbor:2598.0000;NumberFlagged_OutOfBounds:4115.0000;NumberInvalidWells:12345;NumberPositiveEmpties:10;NumberPositives:1686;NumberResSaturated:0;NumberSaturatedWithoutDebris:0;NumberValidUnclassified:53717.00;NumberValidWells:180443;OddlyAggregatedFlag:2;OddlyAggregatedLocations:;OddlyAggregatedWorst:0;OffsetW488:( 0, 0 );OffsetW577:( 0, 0 );OffsetW647:( 0, 0 );OffsetW700:( 0, 0 );OffsetW750:( 0, 0 );ResorufinUnsaturated:0;ResorufinUnsaturatedMutated:0;ResorufinUnsaturaterNumberInFit:20;SaturatedDecodingWells:0;SuspiciousWells:22906;SuspiciousWellsFlagged:1;SuspiciousWellsLowerThreshold:5;Warnings:;WhiteLightChannelMedian:9907;XtalkSubregionsOutOfSpec:0</t>
  </si>
  <si>
    <t>DataReduction.L1.ClassificationException;DataReduction.L2.InvalidL1drResultException</t>
  </si>
  <si>
    <t>Calibrator D</t>
  </si>
  <si>
    <t>Plate 1 - Well D1</t>
  </si>
  <si>
    <t>0002_DecodingIntensityStdDev_577F1:37.892;0002_DecodingIntensityStdDev_577F2:70.724;0002_MeanDecodingIntensity_577F1:416.65;0002_MeanDecodingIntensity_577F2:424.91;0002AEB:00.0300;0002DecodingIntensityStdDev:365.196;0002DecodingIntensityStdDev_488:365.196;0002DecodingIntensityStdDev_647:5.036;0002DecodingIntensityStdDev_700:5.105;0002DecodingIntensityStdDev_750:6.649;0002F_on:0.0296;0002FillPercent:015.04;0002KineticInconsistentLower:0;0002KineticInconsistentMetadata:-518.543722388852|2.33;0002MeanDecodingIntensity:1628.77;0002MeanDecodingIntensity_488:1628.77;0002MeanDecodingIntensity_647:35.12;0002MeanDecodingIntensity_700:30.68;0002MeanDecodingIntensity_750:35.68;0002ReflectiveIntensity:13274.42;0002ReflectiveIntensityStdDev:612.395;0002SealTimeEstimate:20.6;0021_DecodingIntensityStdDev_577F1:27.158;0021_DecodingIntensityStdDev_577F2:45.619;0021_MeanDecodingIntensity_577F1:407.89;0021_MeanDecodingIntensity_577F2:412.69;0021AEB:00.0121;0021DecodingIntensityStdDev:86.493;0021DecodingIntensityStdDev_488:23.792;0021DecodingIntensityStdDev_647:86.493;0021DecodingIntensityStdDev_700:10.431;0021DecodingIntensityStdDev_750:6.916;0021F_on:0.0121;0021FillPercent:009.40;0021KineticInconsistentLower:0;0021KineticInconsistentMetadata:-538.377879826661|2.38;0021MeanDecodingIntensity:436.83;0021MeanDecodingIntensity_488:144.31;0021MeanDecodingIntensity_647:436.83;0021MeanDecodingIntensity_700:71.32;0021MeanDecodingIntensity_750:35.78;0021ReflectiveIntensity:13036.07;0021ReflectiveIntensityStdDev:515.537;0021SealTimeEstimate:19.8;0201_DecodingIntensityStdDev_577F1:28.449;0201_DecodingIntensityStdDev_577F2:46.832;0201_MeanDecodingIntensity_577F1:407.64;0201_MeanDecodingIntensity_577F2:412.54;0201AEB:00.0120;0201DecodingIntensityStdDev:118.336;0201DecodingIntensityStdDev_488:30.547;0201DecodingIntensityStdDev_647:21.892;0201DecodingIntensityStdDev_700:118.336;0201DecodingIntensityStdDev_750:12.077;0201F_on:0.0120;0201FillPercent:010.85;0201KineticInconsistentLower:0;0201KineticInconsistentMetadata:-484.162817249926|2.27;0201MeanDecodingIntensity:518.23;0201MeanDecodingIntensity_488:147.40;0201MeanDecodingIntensity_647:101.66;0201MeanDecodingIntensity_700:518.23;0201MeanDecodingIntensity_750:67.27;0201ReflectiveIntensity:13096.10;0201ReflectiveIntensityStdDev:545.143;0201SealTimeEstimate:21.6;2001_DecodingIntensityStdDev_577F1:31.221;2001_DecodingIntensityStdDev_577F2:51.171;2001_MeanDecodingIntensity_577F1:438.85;2001_MeanDecodingIntensity_577F2:444.05;2001AEB:00.0126;2001DecodingIntensityStdDev:233.072;2001DecodingIntensityStdDev_488:27.944;2001DecodingIntensityStdDev_647:5.666;2001DecodingIntensityStdDev_700:6.255;2001DecodingIntensityStdDev_750:233.072;2001F_on:0.0126;2001FillPercent:010.40;2001KineticInconsistentLower:0;2001KineticInconsistentMetadata:-580.363259232058|2.38;2001MeanDecodingIntensity:983.00;2001MeanDecodingIntensity_488:146.28;2001MeanDecodingIntensity_647:38.40;2001MeanDecodingIntensity_700:35.06;2001MeanDecodingIntensity_750:983.00;2001ReflectiveIntensity:13081.72;2001ReflectiveIntensityStdDev:550.971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13.46;Empties488F1MeanIntensity:74.01;Empties577F1IntensityStdDev:19.47;Empties577F1MeanIntensity:379.75;Empties577F2IntensityStdDev:20.98;Empties577F2MeanIntensity:377.50;Empties647F1IntensityStdDev:4.54;Empties647F1MeanIntensity:31.75;Empties700F1IntensityStdDev:4.72;Empties700F1MeanIntensity:29.86;Empties750F1IntensityStdDev:5.78;Empties750F1MeanIntensity:34.32;EmptiesIGrowth:294.97;EmptiesReflectiveIntensityStdDev:324.80;EmptiesReflectiveMeanIntensity:11805.39;Errors:;F2minusF1Shift:-0.2;FluorescenceClassification:Normal;Focus_FracImageLost:0.00;FocusScoresAvg:3.45;FocusScoresImageCenter:4.46;FocusScoresMax:4.94;FocusScoresMedian:3.45;FractionImageDebris:0.0689;FractionWellsDebris:0.0766;ImageQualityScoreIfUnpegged:1.00;IndexingWellsMissingFromFov:0;IndexingWellsTotalLostBothVisibleAndMissing:0;IndexingWellsVisibleInFovButRemoved:0;L1DR time (ms):28617;NetBeadFillRate:32.06;NormalizedFillPercentage:045.70;Notes:;NumberDecSaturated:1;NumberEmpties:66078;NumberFlagged_DeadPixels:80.0000;NumberFlagged_Debris:14761.0000;NumberFlagged_MissingNeighbor:2863.0000;NumberFlagged_NeighborSaturated:12.0000;NumberFlagged_OutOfBounds:4126.0000;NumberFlagged_SaturatedPixelDecodingFour:01.0000;NumberFlagged_SaturatedPixelResorufinTwo:01.0000;NumberInvalidWells:19236;NumberPositiveEmpties:7;NumberPositives:2184;NumberResSaturated:1;NumberSaturatedWithoutDebris:1;NumberValidUnclassified:51733.00;NumberValidWells:173415;OddlyAggregatedFlag:2;OddlyAggregatedLocations:;OddlyAggregatedWorst:0;OffsetW488:( 1, 0 );OffsetW577:( 0, 0 );OffsetW647:( 0, 0 );OffsetW700:( 0, 0 );OffsetW750:( 0, 0 );ResorufinUnsaturated:0;ResorufinUnsaturatedMutated:0;ResorufinUnsaturaterNumberInFit:11;SaturatedDecodingWells:1;SuspiciousWells:25076;SuspiciousWellsFlagged:1;SuspiciousWellsLowerThreshold:5;Warnings:;WhiteLightChannelMedian:9895;XtalkSubregionsOutOfSpec:0</t>
  </si>
  <si>
    <t>0002_DecodingIntensityStdDev_577F1:33.064;0002_DecodingIntensityStdDev_577F2:64.593;0002_MeanDecodingIntensity_577F1:420.70;0002_MeanDecodingIntensity_577F2:426.97;0002AEB:00.0314;0002DecodingIntensityStdDev:365.983;0002DecodingIntensityStdDev_488:365.983;0002DecodingIntensityStdDev_647:4.995;0002DecodingIntensityStdDev_700:5.050;0002DecodingIntensityStdDev_750:6.370;0002F_on:0.0309;0002FillPercent:013.43;0002KineticInconsistentLower:0;0002KineticInconsistentMetadata:-779.468003145007|2.98;0002MeanDecodingIntensity:1721.22;0002MeanDecodingIntensity_488:1721.22;0002MeanDecodingIntensity_647:35.03;0002MeanDecodingIntensity_700:30.66;0002MeanDecodingIntensity_750:35.50;0002ReflectiveIntensity:13197.17;0002ReflectiveIntensityStdDev:608.683;0002SealTimeEstimate:13.7;0021_DecodingIntensityStdDev_577F1:25.643;0021_DecodingIntensityStdDev_577F2:41.438;0021_MeanDecodingIntensity_577F1:412.06;0021_MeanDecodingIntensity_577F2:414.21;0021AEB:00.0105;0021DecodingIntensityStdDev:83.938;0021DecodingIntensityStdDev_488:22.229;0021DecodingIntensityStdDev_647:83.938;0021DecodingIntensityStdDev_700:10.304;0021DecodingIntensityStdDev_750:6.554;0021F_on:0.0104;0021FillPercent:008.94;0021KineticInconsistentLower:0;0021KineticInconsistentMetadata:-727.380071880191|2.9;0021MeanDecodingIntensity:443.78;0021MeanDecodingIntensity_488:145.03;0021MeanDecodingIntensity_647:443.78;0021MeanDecodingIntensity_700:71.82;0021MeanDecodingIntensity_750:35.58;0021ReflectiveIntensity:12953.58;0021ReflectiveIntensityStdDev:488.994;0021SealTimeEstimate:14.2;0201_DecodingIntensityStdDev_577F1:26.770;0201_DecodingIntensityStdDev_577F2:43.190;0201_MeanDecodingIntensity_577F1:412.39;0201_MeanDecodingIntensity_577F2:414.75;0201AEB:00.0114;0201DecodingIntensityStdDev:121.730;0201DecodingIntensityStdDev_488:27.245;0201DecodingIntensityStdDev_647:18.817;0201DecodingIntensityStdDev_700:121.730;0201DecodingIntensityStdDev_750:11.739;0201F_on:0.0113;0201FillPercent:010.48;0201KineticInconsistentLower:0;0201KineticInconsistentMetadata:-762.313269930533|2.97;0201MeanDecodingIntensity:528.82;0201MeanDecodingIntensity_488:148.77;0201MeanDecodingIntensity_647:101.29;0201MeanDecodingIntensity_700:528.82;0201MeanDecodingIntensity_750:67.03;0201ReflectiveIntensity:13005.39;0201ReflectiveIntensityStdDev:531.573;0201SealTimeEstimate:13.7;2001_DecodingIntensityStdDev_577F1:32.174;2001_DecodingIntensityStdDev_577F2:55.968;2001_MeanDecodingIntensity_577F1:443.11;2001_MeanDecodingIntensity_577F2:446.61;2001AEB:00.0138;2001DecodingIntensityStdDev:218.140;2001DecodingIntensityStdDev_488:24.843;2001DecodingIntensityStdDev_647:5.498;2001DecodingIntensityStdDev_700:5.963;2001DecodingIntensityStdDev_750:218.140;2001F_on:0.0137;2001FillPercent:009.97;2001KineticInconsistentLower:0;2001KineticInconsistentMetadata:-865.0663043816|3.05;2001MeanDecodingIntensity:975.77;2001MeanDecodingIntensity_488:147.74;2001MeanDecodingIntensity_647:38.36;2001MeanDecodingIntensity_700:34.91;2001MeanDecodingIntensity_750:975.77;2001ReflectiveIntensity:13006.29;2001ReflectiveIntensityStdDev:549.394;2001SealTimeEstimate:13.2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12.76;Empties488F1MeanIntensity:74.44;Empties577F1IntensityStdDev:19.76;Empties577F1MeanIntensity:383.99;Empties577F2IntensityStdDev:20.41;Empties577F2MeanIntensity:379.43;Empties647F1IntensityStdDev:4.42;Empties647F1MeanIntensity:31.64;Empties700F1IntensityStdDev:4.50;Empties700F1MeanIntensity:29.73;Empties750F1IntensityStdDev:5.45;Empties750F1MeanIntensity:34.14;EmptiesIGrowth:336.73;EmptiesReflectiveIntensityStdDev:292.64;EmptiesReflectiveMeanIntensity:11722.00;Errors:;F2minusF1Shift:1.3;FluorescenceClassification:Normal;Focus_FracImageLost:0.00;FocusScoresAvg:3.40;FocusScoresImageCenter:4.13;FocusScoresMax:4.78;FocusScoresMedian:3.32;FractionImageDebris:0.0684;FractionWellsDebris:0.0764;ImageQualityScoreIfUnpegged:1.00;IndexingWellsMissingFromFov:0;IndexingWellsTotalLostBothVisibleAndMissing:0;IndexingWellsVisibleInFovButRemoved:0;L1DR time (ms):28150;NetBeadFillRate:30.06;NormalizedFillPercentage:042.82;Notes:Xtalk: usable out of spec wv 577 sr 9 dir 4 value 0.038.;NumberDecSaturated:0;NumberEmpties:69901;NumberFlagged_DeadPixels:75.0000;NumberFlagged_Debris:14757.0000;NumberFlagged_MissingNeighbor:2167.0000;NumberFlagged_OddlyRecurrentClassification:1465.0000;NumberFlagged_OutOfBounds:4176.0000;NumberInvalidWells:18934;NumberPositiveEmpties:9;NumberPositives:1903;NumberResSaturated:0;NumberSaturatedWithoutDebris:0;NumberValidUnclassified:51886.00;NumberValidWells:174126;OddlyAggregatedFlag:2;OddlyAggregatedLocations:;OddlyAggregatedWorst:0;OffsetW488:( 1, -1 );OffsetW577:( 0, 0 );OffsetW647:( 0, 0 );OffsetW700:( 0, 0 );OffsetW750:( 0, 0 );ResorufinUnsaturated:0;ResorufinUnsaturatedMutated:0;ResorufinUnsaturaterNumberInFit:3;SaturatedDecodingWells:0;SuspiciousWells:24409;SuspiciousWellsFlagged:1;SuspiciousWellsLowerThreshold:5;Warnings:;WhiteLightChannelMedian:9860;XtalkSubregionsOutOfSpec:0</t>
  </si>
  <si>
    <t>0002_DecodingIntensityStdDev_577F1:30.076;0002_DecodingIntensityStdDev_577F2:62.758;0002_MeanDecodingIntensity_577F1:428.58;0002_MeanDecodingIntensity_577F2:434.65;0002AEB:00.0299;0002DecodingIntensityStdDev:393.159;0002DecodingIntensityStdDev_488:393.159;0002DecodingIntensityStdDev_647:5.542;0002DecodingIntensityStdDev_700:5.401;0002DecodingIntensityStdDev_750:7.106;0002F_on:0.0295;0002FillPercent:016.54;0002KineticInconsistentLower:0;0002KineticInconsistentMetadata:-806.487061735757|2.99;0002MeanDecodingIntensity:1625.93;0002MeanDecodingIntensity_488:1625.93;0002MeanDecodingIntensity_647:35.42;0002MeanDecodingIntensity_700:30.98;0002MeanDecodingIntensity_750:36.30;0002ReflectiveIntensity:13169.50;0002ReflectiveIntensityStdDev:652.243;0002SealTimeEstimate:13.6;0021_DecodingIntensityStdDev_577F1:23.534;0021_DecodingIntensityStdDev_577F2:42.142;0021_MeanDecodingIntensity_577F1:420.05;0021_MeanDecodingIntensity_577F2:422.23;0021AEB:00.0103;0021DecodingIntensityStdDev:93.535;0021DecodingIntensityStdDev_488:26.803;0021DecodingIntensityStdDev_647:93.535;0021DecodingIntensityStdDev_700:11.349;0021DecodingIntensityStdDev_750:7.614;0021F_on:0.0103;0021FillPercent:010.20;0021KineticInconsistentLower:0;0021KineticInconsistentMetadata:-807.092176789687|3;0021MeanDecodingIntensity:432.63;0021MeanDecodingIntensity_488:150.39;0021MeanDecodingIntensity_647:432.63;0021MeanDecodingIntensity_700:71.29;0021MeanDecodingIntensity_750:36.59;0021ReflectiveIntensity:12943.44;0021ReflectiveIntensityStdDev:549.375;0021SealTimeEstimate:13.5;0201_DecodingIntensityStdDev_577F1:28.705;0201_DecodingIntensityStdDev_577F2:49.516;0201_MeanDecodingIntensity_577F1:422.50;0201_MeanDecodingIntensity_577F2:425.28;0201AEB:00.0124;0201DecodingIntensityStdDev:142.670;0201DecodingIntensityStdDev_488:55.600;0201DecodingIntensityStdDev_647:55.855;0201DecodingIntensityStdDev_700:142.670;0201DecodingIntensityStdDev_750:19.125;0201F_on:0.0123;0201FillPercent:012.07;0201KineticInconsistentLower:0;0201KineticInconsistentMetadata:-805.48166504862|2.98;0201MeanDecodingIntensity:521.50;0201MeanDecodingIntensity_488:159.76;0201MeanDecodingIntensity_647:110.38;0201MeanDecodingIntensity_700:521.50;0201MeanDecodingIntensity_750:68.47;0201ReflectiveIntensity:13070.28;0201ReflectiveIntensityStdDev:633.535;0201SealTimeEstimate:13.7;2001_DecodingIntensityStdDev_577F1:27.296;2001_DecodingIntensityStdDev_577F2:44.598;2001_MeanDecodingIntensity_577F1:451.08;2001_MeanDecodingIntensity_577F2:453.77;2001AEB:00.0136;2001DecodingIntensityStdDev:255.381;2001DecodingIntensityStdDev_488:63.129;2001DecodingIntensityStdDev_647:9.971;2001DecodingIntensityStdDev_700:7.582;2001DecodingIntensityStdDev_750:255.381;2001F_on:0.0135;2001FillPercent:011.37;2001KineticInconsistentLower:0;2001KineticInconsistentMetadata:-769.079352375047|2.81;2001MeanDecodingIntensity:963.05;2001MeanDecodingIntensity_488:158.29;2001MeanDecodingIntensity_647:39.28;2001MeanDecodingIntensity_700:35.57;2001MeanDecodingIntensity_750:963.05;2001ReflectiveIntensity:13016.72;2001ReflectiveIntensityStdDev:597.074;2001SealTimeEstimate:15.0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14.63;Empties488F1MeanIntensity:79.52;Empties577F1IntensityStdDev:16.60;Empties577F1MeanIntensity:395.30;Empties577F2IntensityStdDev:19.76;Empties577F2MeanIntensity:390.47;Empties647F1IntensityStdDev:4.78;Empties647F1MeanIntensity:31.90;Empties700F1IntensityStdDev:4.72;Empties700F1MeanIntensity:29.83;Empties750F1IntensityStdDev:5.86;Empties750F1MeanIntensity:34.53;EmptiesIGrowth:350.24;EmptiesReflectiveIntensityStdDev:344.53;EmptiesReflectiveMeanIntensity:11710.25;Errors:;F2minusF1Shift:1.4;FluorescenceClassification:Normal;Focus_FracImageLost:0.00;FocusScoresAvg:3.39;FocusScoresImageCenter:4.11;FocusScoresMax:4.83;FocusScoresMedian:3.47;FractionImageDebris:0.1846;FractionWellsDebris:0.1791;ImageQualityScoreIfUnpegged:1.00;IndexingWellsMissingFromFov:0;IndexingWellsTotalLostBothVisibleAndMissing:0;IndexingWellsVisibleInFovButRemoved:0;L1DR time (ms):27544;NetBeadFillRate:35.19;NormalizedFillPercentage:050.18;Notes:;NumberDecSaturated:0;NumberEmpties:52289;NumberFlagged_DeadPixels:78.0000;NumberFlagged_Debris:33904.0000;NumberFlagged_MissingNeighbor:10437.0000;NumberFlagged_OddlyRecurrentClassification:15586.0000;NumberFlagged_OutOfBounds:3932.0000;NumberInvalidWells:39583;NumberPositiveEmpties:26;NumberPositives:2551;NumberResSaturated:0;NumberSaturatedWithoutDebris:0;NumberValidUnclassified:44725.00;NumberValidWells:149690;OddlyAggregatedFlag:2;OddlyAggregatedLocations:;OddlyAggregatedWorst:0;OffsetW488:( 1, 0 );OffsetW577:( 0, 0 );OffsetW647:( 0, 1 );OffsetW700:( 0, 0 );OffsetW750:( 0, 0 );ResorufinUnsaturated:0;ResorufinUnsaturatedMutated:0;ResorufinUnsaturaterNumberInFit:3;SaturatedDecodingWells:0;SuspiciousWells:23395;SuspiciousWellsFlagged:1;SuspiciousWellsLowerThreshold:6;Warnings:;WhiteLightChannelMedian:9985;XtalkSubregionsOutOfSpec:0</t>
  </si>
  <si>
    <t>Calibrator E</t>
  </si>
  <si>
    <t>Plate 1 - Well E1</t>
  </si>
  <si>
    <t>0002_DecodingIntensityStdDev_577F1:38.219;0002_DecodingIntensityStdDev_577F2:80.434;0002_MeanDecodingIntensity_577F1:414.49;0002_MeanDecodingIntensity_577F2:425.74;0002AEB:00.0424;0002DecodingIntensityStdDev:372.717;0002DecodingIntensityStdDev_488:372.717;0002DecodingIntensityStdDev_647:5.259;0002DecodingIntensityStdDev_700:5.167;0002DecodingIntensityStdDev_750:6.576;0002F_on:0.0415;0002FillPercent:014.40;0002KineticInconsistentLower:0;0002KineticInconsistentMetadata:-579.776945375503|2.51;0002MeanDecodingIntensity:1549.91;0002MeanDecodingIntensity_488:1549.91;0002MeanDecodingIntensity_647:35.15;0002MeanDecodingIntensity_700:30.57;0002MeanDecodingIntensity_750:35.56;0002ReflectiveIntensity:12981.23;0002ReflectiveIntensityStdDev:619.303;0002SealTimeEstimate:18.1;0021_DecodingIntensityStdDev_577F1:23.855;0021_DecodingIntensityStdDev_577F2:40.473;0021_MeanDecodingIntensity_577F1:404.65;0021_MeanDecodingIntensity_577F2:409.73;0021AEB:00.0117;0021DecodingIntensityStdDev:90.579;0021DecodingIntensityStdDev_488:24.607;0021DecodingIntensityStdDev_647:90.579;0021DecodingIntensityStdDev_700:10.985;0021DecodingIntensityStdDev_750:6.996;0021F_on:0.0116;0021FillPercent:009.09;0021KineticInconsistentLower:0;0021KineticInconsistentMetadata:-622.966007159678|2.61;0021MeanDecodingIntensity:422.38;0021MeanDecodingIntensity_488:144.07;0021MeanDecodingIntensity_647:422.38;0021MeanDecodingIntensity_700:69.96;0021MeanDecodingIntensity_750:35.71;0021ReflectiveIntensity:12747.96;0021ReflectiveIntensityStdDev:515.042;0021SealTimeEstimate:16.9;0201_DecodingIntensityStdDev_577F1:27.796;0201_DecodingIntensityStdDev_577F2:47.113;0201_MeanDecodingIntensity_577F1:406.33;0201_MeanDecodingIntensity_577F2:412.20;0201AEB:00.0159;0201DecodingIntensityStdDev:134.059;0201DecodingIntensityStdDev_488:39.917;0201DecodingIntensityStdDev_647:42.091;0201DecodingIntensityStdDev_700:134.059;0201DecodingIntensityStdDev_750:15.500;0201F_on:0.0157;0201FillPercent:010.50;0201KineticInconsistentLower:0;0201KineticInconsistentMetadata:-602.580169575316|2.57;0201MeanDecodingIntensity:507.01;0201MeanDecodingIntensity_488:149.59;0201MeanDecodingIntensity_647:104.32;0201MeanDecodingIntensity_700:507.01;0201MeanDecodingIntensity_750:66.60;0201ReflectiveIntensity:12843.70;0201ReflectiveIntensityStdDev:584.800;0201SealTimeEstimate:17.3;2001_DecodingIntensityStdDev_577F1:30.871;2001_DecodingIntensityStdDev_577F2:51.133;2001_MeanDecodingIntensity_577F1:436.95;2001_MeanDecodingIntensity_577F2:443.03;2001AEB:00.0150;2001DecodingIntensityStdDev:249.855;2001DecodingIntensityStdDev_488:64.637;2001DecodingIntensityStdDev_647:10.437;2001DecodingIntensityStdDev_700:7.051;2001DecodingIntensityStdDev_750:249.855;2001F_on:0.0149;2001FillPercent:009.87;2001KineticInconsistentLower:0;2001KineticInconsistentMetadata:-663.00199633457|2.6;2001MeanDecodingIntensity:957.62;2001MeanDecodingIntensity_488:152.35;2001MeanDecodingIntensity_647:38.99;2001MeanDecodingIntensity_700:35.12;2001MeanDecodingIntensity_750:957.62;2001ReflectiveIntensity:12830.36;2001ReflectiveIntensityStdDev:586.929;2001SealTimeEstimate:17.0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13.04;Empties488F1MeanIntensity:75.48;Empties577F1IntensityStdDev:15.86;Empties577F1MeanIntensity:378.61;Empties577F2IntensityStdDev:17.25;Empties577F2MeanIntensity:376.87;Empties647F1IntensityStdDev:4.55;Empties647F1MeanIntensity:31.83;Empties700F1IntensityStdDev:4.51;Empties700F1MeanIntensity:29.66;Empties750F1IntensityStdDev:5.51;Empties750F1MeanIntensity:34.13;EmptiesIGrowth:244.36;EmptiesReflectiveIntensityStdDev:312.98;EmptiesReflectiveMeanIntensity:11532.31;Errors:;F2minusF1Shift:-1.0;FluorescenceClassification:Normal;Focus_FracImageLost:0.00;FocusScoresAvg:3.24;FocusScoresImageCenter:3.94;FocusScoresMax:4.62;FocusScoresMedian:3.22;FractionImageDebris:0.0803;FractionWellsDebris:0.0900;ImageQualityScoreIfUnpegged:1.00;IndexingWellsMissingFromFov:0;IndexingWellsTotalLostBothVisibleAndMissing:0;IndexingWellsVisibleInFovButRemoved:0;L1DR time (ms):28256;NetBeadFillRate:30.78;NormalizedFillPercentage:043.85;Notes:;NumberDecSaturated:0;NumberEmpties:67601;NumberFlagged_DeadPixels:72.0000;NumberFlagged_Debris:17376.0000;NumberFlagged_MissingNeighbor:2401.0000;NumberFlagged_OutOfBounds:4072.0000;NumberInvalidWells:21425;NumberPositiveEmpties:12;NumberPositives:2629;NumberResSaturated:0;NumberSaturatedWithoutDebris:0;NumberValidUnclassified:51164.00;NumberValidWells:171565;OddlyAggregatedFlag:2;OddlyAggregatedLocations:;OddlyAggregatedWorst:0;OffsetW488:( 1, 0 );OffsetW577:( 0, 0 );OffsetW647:( 0, 1 );OffsetW700:( 0, 0 );OffsetW750:( 0, 0 );ResorufinUnsaturated:0;ResorufinUnsaturatedMutated:0;ResorufinUnsaturaterNumberInFit:7;SaturatedDecodingWells:0;SuspiciousWells:25457;SuspiciousWellsFlagged:1;SuspiciousWellsLowerThreshold:5;Warnings:;WhiteLightChannelMedian:9851;XtalkSubregionsOutOfSpec:0</t>
  </si>
  <si>
    <t>0002_DecodingIntensityStdDev_577F1:39.530;0002_DecodingIntensityStdDev_577F2:81.211;0002_MeanDecodingIntensity_577F1:423.32;0002_MeanDecodingIntensity_577F2:434.48;0002AEB:00.0428;0002DecodingIntensityStdDev:379.328;0002DecodingIntensityStdDev_488:379.328;0002DecodingIntensityStdDev_647:5.346;0002DecodingIntensityStdDev_700:5.183;0002DecodingIntensityStdDev_750:6.809;0002F_on:0.0419;0002FillPercent:015.39;0002KineticInconsistentLower:0;0002KineticInconsistentMetadata:-610.635704845904|2.53;0002MeanDecodingIntensity:1593.10;0002MeanDecodingIntensity_488:1593.10;0002MeanDecodingIntensity_647:35.19;0002MeanDecodingIntensity_700:30.82;0002MeanDecodingIntensity_750:35.98;0002ReflectiveIntensity:13173.46;0002ReflectiveIntensityStdDev:608.196;0002SealTimeEstimate:17.8;0021_DecodingIntensityStdDev_577F1:23.836;0021_DecodingIntensityStdDev_577F2:38.739;0021_MeanDecodingIntensity_577F1:412.49;0021_MeanDecodingIntensity_577F2:417.35;0021AEB:00.0117;0021DecodingIntensityStdDev:90.011;0021DecodingIntensityStdDev_488:23.346;0021DecodingIntensityStdDev_647:90.011;0021DecodingIntensityStdDev_700:10.826;0021DecodingIntensityStdDev_750:7.086;0021F_on:0.0116;0021FillPercent:009.49;0021KineticInconsistentLower:0;0021KineticInconsistentMetadata:-594.27753942131|2.53;0021MeanDecodingIntensity:421.99;0021MeanDecodingIntensity_488:144.03;0021MeanDecodingIntensity_647:421.99;0021MeanDecodingIntensity_700:70.44;0021MeanDecodingIntensity_750:35.96;0021ReflectiveIntensity:12935.71;0021ReflectiveIntensityStdDev:497.396;0021SealTimeEstimate:17.8;0201_DecodingIntensityStdDev_577F1:28.522;0201_DecodingIntensityStdDev_577F2:50.185;0201_MeanDecodingIntensity_577F1:413.97;0201_MeanDecodingIntensity_577F2:419.78;0201AEB:00.0135;0201DecodingIntensityStdDev:132.673;0201DecodingIntensityStdDev_488:33.763;0201DecodingIntensityStdDev_647:36.177;0201DecodingIntensityStdDev_700:132.673;0201DecodingIntensityStdDev_750:13.923;0201F_on:0.0134;0201FillPercent:011.09;0201KineticInconsistentLower:0;0201KineticInconsistentMetadata:-625.853845006355|2.58;0201MeanDecodingIntensity:512.92;0201MeanDecodingIntensity_488:149.25;0201MeanDecodingIntensity_647:102.08;0201MeanDecodingIntensity_700:512.92;0201MeanDecodingIntensity_750:66.88;0201ReflectiveIntensity:13019.28;0201ReflectiveIntensityStdDev:569.138;0201SealTimeEstimate:17.2;2001_DecodingIntensityStdDev_577F1:30.169;2001_DecodingIntensityStdDev_577F2:48.847;2001_MeanDecodingIntensity_577F1:444.17;2001_MeanDecodingIntensity_577F2:449.95;2001AEB:00.0150;2001DecodingIntensityStdDev:239.408;2001DecodingIntensityStdDev_488:31.644;2001DecodingIntensityStdDev_647:6.235;2001DecodingIntensityStdDev_700:6.444;2001DecodingIntensityStdDev_750:239.408;2001F_on:0.0148;2001FillPercent:010.47;2001KineticInconsistentLower:0;2001KineticInconsistentMetadata:-649.243278175971|2.55;2001MeanDecodingIntensity:966.72;2001MeanDecodingIntensity_488:148.14;2001MeanDecodingIntensity_647:38.45;2001MeanDecodingIntensity_700:35.04;2001MeanDecodingIntensity_750:966.72;2001ReflectiveIntensity:12978.82;2001ReflectiveIntensityStdDev:551.307;2001SealTimeEstimate:17.6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13.21;Empties488F1MeanIntensity:75.00;Empties577F1IntensityStdDev:17.32;Empties577F1MeanIntensity:385.94;Empties577F2IntensityStdDev:22.44;Empties577F2MeanIntensity:384.22;Empties647F1IntensityStdDev:4.64;Empties647F1MeanIntensity:31.85;Empties700F1IntensityStdDev:4.58;Empties700F1MeanIntensity:29.80;Empties750F1IntensityStdDev:5.69;Empties750F1MeanIntensity:34.29;EmptiesIGrowth:304.30;EmptiesReflectiveIntensityStdDev:294.19;EmptiesReflectiveMeanIntensity:11671.43;Errors:;F2minusF1Shift:-0.9;FluorescenceClassification:Normal;Focus_FracImageLost:0.00;FocusScoresAvg:3.27;FocusScoresImageCenter:4.10;FocusScoresMax:4.86;FocusScoresMedian:3.27;FractionImageDebris:0.0734;FractionWellsDebris:0.0835;ImageQualityScoreIfUnpegged:1.00;IndexingWellsMissingFromFov:0;IndexingWellsTotalLostBothVisibleAndMissing:0;IndexingWellsVisibleInFovButRemoved:0;L1DR time (ms):29096;NetBeadFillRate:32.58;NormalizedFillPercentage:046.44;Notes:Xtalk: usable out of spec wv 577 sr 0 dir 5 value 0.036. | Xtalk: usable out of spec wv 577 sr 11 dir 3 value 0.036.;NumberDecSaturated:1;NumberEmpties:64790;NumberFlagged_DeadPixels:90.0000;NumberFlagged_Debris:16102.0000;NumberFlagged_MissingNeighbor:2485.0000;NumberFlagged_NeighborSaturated:06.0000;NumberFlagged_OutOfBounds:4092.0000;NumberFlagged_SaturatedPixelDecodingFour:01.0000;NumberInvalidWells:20496;NumberPositiveEmpties:28;NumberPositives:2683;NumberResSaturated:0;NumberSaturatedWithoutDebris:0;NumberValidUnclassified:51426.00;NumberValidWells:172384;OddlyAggregatedFlag:2;OddlyAggregatedLocations:;OddlyAggregatedWorst:0;OffsetW488:( 0, 0 );OffsetW577:( 0, 0 );OffsetW647:( 0, 1 );OffsetW700:( 0, 0 );OffsetW750:( 0, 0 );ResorufinUnsaturated:0;ResorufinUnsaturatedMutated:0;ResorufinUnsaturaterNumberInFit:11;SaturatedDecodingWells:1;SuspiciousWells:24837;SuspiciousWellsFlagged:1;SuspiciousWellsLowerThreshold:5;Warnings:;WhiteLightChannelMedian:9989;XtalkSubregionsOutOfSpec:0</t>
  </si>
  <si>
    <t>0002_DecodingIntensityStdDev_577F1:30.833;0002_DecodingIntensityStdDev_577F2:67.092;0002_MeanDecodingIntensity_577F1:425.47;0002_MeanDecodingIntensity_577F2:434.07;0002AEB:00.0398;0002DecodingIntensityStdDev:358.480;0002DecodingIntensityStdDev_488:358.480;0002DecodingIntensityStdDev_647:4.920;0002DecodingIntensityStdDev_700:4.909;0002DecodingIntensityStdDev_750:6.317;0002F_on:0.0390;0002FillPercent:013.92;0002KineticInconsistentLower:0;0002KineticInconsistentMetadata:-707.326644025117|2.77;0002MeanDecodingIntensity:1612.95;0002MeanDecodingIntensity_488:1612.95;0002MeanDecodingIntensity_647:34.81;0002MeanDecodingIntensity_700:30.31;0002MeanDecodingIntensity_750:35.12;0002ReflectiveIntensity:13019.34;0002ReflectiveIntensityStdDev:615.797;0002SealTimeEstimate:15.3;0021_DecodingIntensityStdDev_577F1:19.893;0021_DecodingIntensityStdDev_577F2:36.230;0021_MeanDecodingIntensity_577F1:415.91;0021_MeanDecodingIntensity_577F2:418.93;0021AEB:00.0106;0021DecodingIntensityStdDev:87.840;0021DecodingIntensityStdDev_488:21.570;0021DecodingIntensityStdDev_647:87.840;0021DecodingIntensityStdDev_700:10.378;0021DecodingIntensityStdDev_750:6.582;0021F_on:0.0106;0021FillPercent:008.68;0021KineticInconsistentLower:0;0021KineticInconsistentMetadata:-716.805362215961|2.8;0021MeanDecodingIntensity:425.46;0021MeanDecodingIntensity_488:139.51;0021MeanDecodingIntensity_647:425.46;0021MeanDecodingIntensity_700:69.90;0021MeanDecodingIntensity_750:35.25;0021ReflectiveIntensity:12784.38;0021ReflectiveIntensityStdDev:486.779;0021SealTimeEstimate:15.1;0201_DecodingIntensityStdDev_577F1:24.822;0201_DecodingIntensityStdDev_577F2:47.264;0201_MeanDecodingIntensity_577F1:416.96;0201_MeanDecodingIntensity_577F2:420.85;0201AEB:00.0136;0201DecodingIntensityStdDev:122.039;0201DecodingIntensityStdDev_488:30.549;0201DecodingIntensityStdDev_647:34.019;0201DecodingIntensityStdDev_700:122.039;0201DecodingIntensityStdDev_750:12.699;0201F_on:0.0135;0201FillPercent:010.07;0201KineticInconsistentLower:0;0201KineticInconsistentMetadata:-753.522610419069|2.89;0201MeanDecodingIntensity:513.69;0201MeanDecodingIntensity_488:143.57;0201MeanDecodingIntensity_647:101.40;0201MeanDecodingIntensity_700:513.69;0201MeanDecodingIntensity_750:65.86;0201ReflectiveIntensity:12845.41;0201ReflectiveIntensityStdDev:544.498;0201SealTimeEstimate:14.3;2001_DecodingIntensityStdDev_577F1:27.831;2001_DecodingIntensityStdDev_577F2:49.900;2001_MeanDecodingIntensity_577F1:447.79;2001_MeanDecodingIntensity_577F2:451.89;2001AEB:00.0145;2001DecodingIntensityStdDev:239.484;2001DecodingIntensityStdDev_488:54.622;2001DecodingIntensityStdDev_647:8.575;2001DecodingIntensityStdDev_700:6.520;2001DecodingIntensityStdDev_750:239.484;2001F_on:0.0144;2001FillPercent:009.50;2001KineticInconsistentLower:0;2001KineticInconsistentMetadata:-818.731646025291|2.89;2001MeanDecodingIntensity:973.51;2001MeanDecodingIntensity_488:145.32;2001MeanDecodingIntensity_647:38.27;2001MeanDecodingIntensity_700:34.56;2001MeanDecodingIntensity_750:973.51;2001ReflectiveIntensity:12829.60;2001ReflectiveIntensityStdDev:545.618;2001SealTimeEstimate:14.3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11.30;Empties488F1MeanIntensity:70.73;Empties577F1IntensityStdDev:14.29;Empties577F1MeanIntensity:388.53;Empties577F2IntensityStdDev:17.07;Empties577F2MeanIntensity:384.86;Empties647F1IntensityStdDev:4.31;Empties647F1MeanIntensity:31.51;Empties700F1IntensityStdDev:4.22;Empties700F1MeanIntensity:29.41;Empties750F1IntensityStdDev:5.09;Empties750F1MeanIntensity:33.59;EmptiesIGrowth:343.56;EmptiesReflectiveIntensityStdDev:277.47;EmptiesReflectiveMeanIntensity:11610.35;Errors:;F2minusF1Shift:0.7;FluorescenceClassification:Normal;Focus_FracImageLost:0.00;FocusScoresAvg:3.19;FocusScoresImageCenter:4.02;FocusScoresMax:5.00;FocusScoresMedian:3.19;FractionImageDebris:0.1225;FractionWellsDebris:0.1208;ImageQualityScoreIfUnpegged:1.00;IndexingWellsMissingFromFov:0;IndexingWellsTotalLostBothVisibleAndMissing:0;IndexingWellsVisibleInFovButRemoved:0;L1DR time (ms):28936;NetBeadFillRate:29.62;NormalizedFillPercentage:042.18;Notes:;NumberDecSaturated:1;NumberEmpties:66051;NumberFlagged_DeadPixels:90.0000;NumberFlagged_Debris:23007.0000;NumberFlagged_MissingNeighbor:6970.0000;NumberFlagged_NeighborSaturated:06.0000;NumberFlagged_OddlyRecurrentClassification:6287.0000;NumberFlagged_OutOfBounds:4013.0000;NumberFlagged_SaturatedPixelDecodingFour:01.0000;NumberInvalidWells:27730;NumberPositiveEmpties:22;NumberPositives:2970;NumberResSaturated:0;NumberSaturatedWithoutDebris:1;NumberValidUnclassified:48443.00;NumberValidWells:162674;OddlyAggregatedFlag:2;OddlyAggregatedLocations:;OddlyAggregatedWorst:0;OffsetW488:( 1, 0 );OffsetW577:( 0, 0 );OffsetW647:( 0, 1 );OffsetW700:( 0, 0 );OffsetW750:( 0, 0 );ResorufinUnsaturated:0;ResorufinUnsaturatedMutated:0;ResorufinUnsaturaterNumberInFit:6;SaturatedDecodingWells:2;SuspiciousWells:20052;SuspiciousWellsFlagged:1;SuspiciousWellsLowerThreshold:5;Warnings:;WhiteLightChannelMedian:9858;XtalkSubregionsOutOfSpec:0</t>
  </si>
  <si>
    <t>Calibrator F</t>
  </si>
  <si>
    <t>Plate 1 - Well F1</t>
  </si>
  <si>
    <t>0002_DecodingIntensityStdDev_577F1:51.955;0002_DecodingIntensityStdDev_577F2:117.951;0002_MeanDecodingIntensity_577F1:419.31;0002_MeanDecodingIntensity_577F2:440.65;0002AEB:00.0959;0002DecodingIntensityStdDev:398.297;0002DecodingIntensityStdDev_488:398.297;0002DecodingIntensityStdDev_647:5.562;0002DecodingIntensityStdDev_700:5.689;0002DecodingIntensityStdDev_750:7.263;0002F_on:0.0915;0002FillPercent:016.99;0002KineticInconsistentLower:0;0002KineticInconsistentMetadata:-613.343220301683|2.59;0002MeanDecodingIntensity:1519.96;0002MeanDecodingIntensity_488:1519.96;0002MeanDecodingIntensity_647:34.95;0002MeanDecodingIntensity_700:30.81;0002MeanDecodingIntensity_750:35.92;0002ReflectiveIntensity:13068.56;0002ReflectiveIntensityStdDev:630.835;0002SealTimeEstimate:17.1;0021_DecodingIntensityStdDev_577F1:24.469;0021_DecodingIntensityStdDev_577F2:40.122;0021_MeanDecodingIntensity_577F1:404.20;0021_MeanDecodingIntensity_577F2:410.08;0021AEB:00.0149;0021DecodingIntensityStdDev:103.606;0021DecodingIntensityStdDev_488:26.359;0021DecodingIntensityStdDev_647:103.606;0021DecodingIntensityStdDev_700:12.179;0021DecodingIntensityStdDev_750:8.028;0021F_on:0.0147;0021FillPercent:010.73;0021KineticInconsistentLower:0;0021KineticInconsistentMetadata:-625.982757415229|2.62;0021MeanDecodingIntensity:411.51;0021MeanDecodingIntensity_488:138.10;0021MeanDecodingIntensity_647:411.51;0021MeanDecodingIntensity_700:68.30;0021MeanDecodingIntensity_750:36.38;0021ReflectiveIntensity:12839.67;0021ReflectiveIntensityStdDev:529.614;0021SealTimeEstimate:16.8;0201_DecodingIntensityStdDev_577F1:28.724;0201_DecodingIntensityStdDev_577F2:48.877;0201_MeanDecodingIntensity_577F1:405.78;0201_MeanDecodingIntensity_577F2:412.45;0201AEB:00.0162;0201DecodingIntensityStdDev:141.553;0201DecodingIntensityStdDev_488:43.361;0201DecodingIntensityStdDev_647:46.290;0201DecodingIntensityStdDev_700:141.553;0201DecodingIntensityStdDev_750:18.196;0201F_on:0.0161;0201FillPercent:012.29;0201KineticInconsistentLower:0;0201KineticInconsistentMetadata:-623.784828892061|2.63;0201MeanDecodingIntensity:492.83;0201MeanDecodingIntensity_488:143.56;0201MeanDecodingIntensity_647:104.38;0201MeanDecodingIntensity_700:492.83;0201MeanDecodingIntensity_750:66.87;0201ReflectiveIntensity:12924.12;0201ReflectiveIntensityStdDev:589.869;0201SealTimeEstimate:16.7;2001_DecodingIntensityStdDev_577F1:30.964;2001_DecodingIntensityStdDev_577F2:44.805;2001_MeanDecodingIntensity_577F1:433.38;2001_MeanDecodingIntensity_577F2:439.79;2001AEB:00.0152;2001DecodingIntensityStdDev:257.928;2001DecodingIntensityStdDev_488:65.814;2001DecodingIntensityStdDev_647:10.881;2001DecodingIntensityStdDev_700:8.323;2001DecodingIntensityStdDev_750:257.928;2001F_on:0.0151;2001FillPercent:011.69;2001KineticInconsistentLower:0;2001KineticInconsistentMetadata:-553.976112303273|2.39;2001MeanDecodingIntensity:918.44;2001MeanDecodingIntensity_488:145.79;2001MeanDecodingIntensity_647:38.57;2001MeanDecodingIntensity_700:35.12;2001MeanDecodingIntensity_750:918.44;2001ReflectiveIntensity:12908.00;2001ReflectiveIntensityStdDev:585.814;2001SealTimeEstimate:19.7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13.99;Empties488F1MeanIntensity:70.83;Empties577F1IntensityStdDev:16.83;Empties577F1MeanIntensity:378.15;Empties577F2IntensityStdDev:23.79;Empties577F2MeanIntensity:376.78;Empties647F1IntensityStdDev:4.82;Empties647F1MeanIntensity:31.61;Empties700F1IntensityStdDev:4.99;Empties700F1MeanIntensity:29.76;Empties750F1IntensityStdDev:6.03;Empties750F1MeanIntensity:34.22;EmptiesIGrowth:271.04;EmptiesReflectiveIntensityStdDev:294.10;EmptiesReflectiveMeanIntensity:11679.26;Errors:;F2minusF1Shift:-1.5;FluorescenceClassification:Normal;Focus_FracImageLost:0.00;FocusScoresAvg:3.36;FocusScoresImageCenter:4.54;FocusScoresMax:5.37;FocusScoresMedian:3.43;FractionImageDebris:0.1031;FractionWellsDebris:0.1144;ImageQualityScoreIfUnpegged:1.00;IndexingWellsMissingFromFov:0;IndexingWellsTotalLostBothVisibleAndMissing:0;IndexingWellsVisibleInFovButRemoved:0;L1DR time (ms):28880;NetBeadFillRate:36.25;NormalizedFillPercentage:051.70;Notes:Xtalk: usable out of spec wv 577 sr 0 dir 5 value 0.036. | Xtalk: usable out of spec wv 577 sr 9 dir 4 value 0.036.;NumberDecSaturated:3;NumberEmpties:55848;NumberFlagged_DeadPixels:80.0000;NumberFlagged_Debris:22040.0000;NumberFlagged_MissingNeighbor:3012.0000;NumberFlagged_NeighborSaturated:14.0000;NumberFlagged_OddlyRecurrentClassification:1365.0000;NumberFlagged_OutOfBounds:4136.0000;NumberFlagged_SaturatedPixelDecodingFour:03.0000;NumberInvalidWells:27797;NumberPositiveEmpties:52;NumberPositives:5711;NumberResSaturated:0;NumberSaturatedWithoutDebris:1;NumberValidUnclassified:49277.00;NumberValidWells:164910;OddlyAggregatedFlag:2;OddlyAggregatedLocations:;OddlyAggregatedWorst:0;OffsetW488:( 0, -1 );OffsetW577:( 0, 0 );OffsetW647:( 0, 0 );OffsetW700:( 0, 0 );OffsetW750:( 0, 0 );ResorufinUnsaturated:0;ResorufinUnsaturatedMutated:0;ResorufinUnsaturaterNumberInFit:16;SaturatedDecodingWells:1;SuspiciousWells:27101;SuspiciousWellsFlagged:1;SuspiciousWellsLowerThreshold:5;Warnings:;WhiteLightChannelMedian:9912;XtalkSubregionsOutOfSpec:0</t>
  </si>
  <si>
    <t>0002_DecodingIntensityStdDev_577F1:55.669;0002_DecodingIntensityStdDev_577F2:119.262;0002_MeanDecodingIntensity_577F1:427.38;0002_MeanDecodingIntensity_577F2:449.71;0002AEB:00.0971;0002DecodingIntensityStdDev:373.764;0002DecodingIntensityStdDev_488:373.764;0002DecodingIntensityStdDev_647:4.990;0002DecodingIntensityStdDev_700:4.924;0002DecodingIntensityStdDev_750:6.334;0002F_on:0.0925;0002FillPercent:016.11;0002KineticInconsistentLower:0;0002KineticInconsistentMetadata:-589.785849183032|2.49;0002MeanDecodingIntensity:1614.77;0002MeanDecodingIntensity_488:1614.77;0002MeanDecodingIntensity_647:34.69;0002MeanDecodingIntensity_700:30.35;0002MeanDecodingIntensity_750:35.21;0002ReflectiveIntensity:13171.48;0002ReflectiveIntensityStdDev:630.755;0002SealTimeEstimate:18.3;0021_DecodingIntensityStdDev_577F1:30.655;0021_DecodingIntensityStdDev_577F2:53.398;0021_MeanDecodingIntensity_577F1:410.73;0021_MeanDecodingIntensity_577F2:418.16;0021AEB:00.0172;0021DecodingIntensityStdDev:87.639;0021DecodingIntensityStdDev_488:21.461;0021DecodingIntensityStdDev_647:87.639;0021DecodingIntensityStdDev_700:10.228;0021DecodingIntensityStdDev_750:6.480;0021F_on:0.0171;0021FillPercent:010.01;0021KineticInconsistentLower:0;0021KineticInconsistentMetadata:-556.049683809956|2.44;0021MeanDecodingIntensity:424.42;0021MeanDecodingIntensity_488:138.66;0021MeanDecodingIntensity_647:424.42;0021MeanDecodingIntensity_700:69.35;0021MeanDecodingIntensity_750:35.28;0021ReflectiveIntensity:12925.84;0021ReflectiveIntensityStdDev:516.571;0021SealTimeEstimate:19.0;0201_DecodingIntensityStdDev_577F1:28.797;0201_DecodingIntensityStdDev_577F2:45.058;0201_MeanDecodingIntensity_577F1:411.05;0201_MeanDecodingIntensity_577F2:418.03;0201AEB:00.0172;0201DecodingIntensityStdDev:122.634;0201DecodingIntensityStdDev_488:25.670;0201DecodingIntensityStdDev_647:25.722;0201DecodingIntensityStdDev_700:122.634;0201DecodingIntensityStdDev_750:11.912;0201F_on:0.0171;0201FillPercent:011.34;0201KineticInconsistentLower:0;0201KineticInconsistentMetadata:-553.497526489111|2.43;0201MeanDecodingIntensity:511.01;0201MeanDecodingIntensity_488:141.20;0201MeanDecodingIntensity_647:99.03;0201MeanDecodingIntensity_700:511.01;0201MeanDecodingIntensity_750:65.18;0201ReflectiveIntensity:12978.08;0201ReflectiveIntensityStdDev:554.064;0201SealTimeEstimate:19.1;2001_DecodingIntensityStdDev_577F1:34.646;2001_DecodingIntensityStdDev_577F2:55.152;2001_MeanDecodingIntensity_577F1:440.21;2001_MeanDecodingIntensity_577F2:447.73;2001AEB:00.0185;2001DecodingIntensityStdDev:228.022;2001DecodingIntensityStdDev_488:23.761;2001DecodingIntensityStdDev_647:6.400;2001DecodingIntensityStdDev_700:5.823;2001DecodingIntensityStdDev_750:228.022;2001F_on:0.0183;2001FillPercent:010.71;2001KineticInconsistentLower:0;2001KineticInconsistentMetadata:-613.515472533253|2.44;2001MeanDecodingIntensity:944.71;2001MeanDecodingIntensity_488:140.07;2001MeanDecodingIntensity_647:37.84;2001MeanDecodingIntensity_700:34.28;2001MeanDecodingIntensity_750:944.71;2001ReflectiveIntensity:12969.46;2001ReflectiveIntensityStdDev:557.473;2001SealTimeEstimate:19.0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11.97;Empties488F1MeanIntensity:71.23;Empties577F1IntensityStdDev:22.36;Empties577F1MeanIntensity:382.58;Empties577F2IntensityStdDev:24.97;Empties577F2MeanIntensity:381.53;Empties647F1IntensityStdDev:4.35;Empties647F1MeanIntensity:31.37;Empties700F1IntensityStdDev:4.37;Empties700F1MeanIntensity:29.43;Empties750F1IntensityStdDev:5.21;Empties750F1MeanIntensity:33.70;EmptiesIGrowth:308.55;EmptiesReflectiveIntensityStdDev:319.07;EmptiesReflectiveMeanIntensity:11752.35;Errors:;F2minusF1Shift:-1.5;FluorescenceClassification:Normal;Focus_FracImageLost:0.00;FocusScoresAvg:3.30;FocusScoresImageCenter:4.43;FocusScoresMax:4.85;FocusScoresMedian:3.33;FractionImageDebris:0.0737;FractionWellsDebris:0.0811;ImageQualityScoreIfUnpegged:0.60;IndexingWellsMissingFromFov:0;IndexingWellsTotalLostBothVisibleAndMissing:0;IndexingWellsVisibleInFovButRemoved:0;L1DR time (ms):27364;NetBeadFillRate:33.81;NormalizedFillPercentage:048.17;Notes:;NumberDecSaturated:0;NumberEmpties:57239;NumberFlagged_DeadPixels:71.0000;NumberFlagged_Debris:15622.0000;NumberFlagged_MissingNeighbor:2828.0000;NumberFlagged_OutOfBounds:4040.0000;NumberFlagged_OutOfSpecXtalk:15995.0000;NumberInvalidWells:35350;NumberPositiveEmpties:30;NumberPositives:5028;NumberResSaturated:0;NumberSaturatedWithoutDebris:0;NumberValidUnclassified:46922.00;NumberValidWells:157368;OddlyAggregatedFlag:2;OddlyAggregatedLocations:;OddlyAggregatedWorst:0;OffsetW488:( 0, -1 );OffsetW577:( 0, 0 );OffsetW647:( 0, 0 );OffsetW700:( 0, 0 );OffsetW750:( 0, 0 );ResorufinUnsaturated:0;ResorufinUnsaturatedMutated:0;ResorufinUnsaturaterNumberInFit:26;SaturatedDecodingWells:0;SuspiciousWells:19661;SuspiciousWellsFlagged:1;SuspiciousWellsLowerThreshold:5;Warnings:Xtalk: unusable out of spec wv 577 sr 4 dir 5 value 0.050.;WhiteLightChannelMedian:9956;XtalkSubregionsOutOfSpec:1</t>
  </si>
  <si>
    <t>0002_DecodingIntensityStdDev_577F1:52.732;0002_DecodingIntensityStdDev_577F2:112.777;0002_MeanDecodingIntensity_577F1:421.44;0002_MeanDecodingIntensity_577F2:441.64;0002AEB:00.0888;0002DecodingIntensityStdDev:376.120;0002DecodingIntensityStdDev_488:376.120;0002DecodingIntensityStdDev_647:5.116;0002DecodingIntensityStdDev_700:5.181;0002DecodingIntensityStdDev_750:6.576;0002F_on:0.0849;0002FillPercent:016.03;0002KineticInconsistentLower:0;0002KineticInconsistentMetadata:-565.216164881391|2.47;0002MeanDecodingIntensity:1560.31;0002MeanDecodingIntensity_488:1560.31;0002MeanDecodingIntensity_647:34.69;0002MeanDecodingIntensity_700:30.52;0002MeanDecodingIntensity_750:35.50;0002ReflectiveIntensity:13199.00;0002ReflectiveIntensityStdDev:603.181;0002SealTimeEstimate:18.6;0021_DecodingIntensityStdDev_577F1:27.770;0021_DecodingIntensityStdDev_577F2:46.136;0021_MeanDecodingIntensity_577F1:406.27;0021_MeanDecodingIntensity_577F2:412.59;0021AEB:00.0145;0021DecodingIntensityStdDev:89.252;0021DecodingIntensityStdDev_488:22.184;0021DecodingIntensityStdDev_647:89.252;0021DecodingIntensityStdDev_700:10.360;0021DecodingIntensityStdDev_750:6.681;0021F_on:0.0144;0021FillPercent:010.10;0021KineticInconsistentLower:0;0021KineticInconsistentMetadata:-653.138307225687|2.67;0021MeanDecodingIntensity:412.75;0021MeanDecodingIntensity_488:136.03;0021MeanDecodingIntensity_647:412.75;0021MeanDecodingIntensity_700:68.18;0021MeanDecodingIntensity_750:35.42;0021ReflectiveIntensity:12952.60;0021ReflectiveIntensityStdDev:495.138;0021SealTimeEstimate:16.3;0201_DecodingIntensityStdDev_577F1:29.763;0201_DecodingIntensityStdDev_577F2:48.007;0201_MeanDecodingIntensity_577F1:406.87;0201_MeanDecodingIntensity_577F2:413.78;0201AEB:00.0194;0201DecodingIntensityStdDev:129.268;0201DecodingIntensityStdDev_488:28.566;0201DecodingIntensityStdDev_647:28.584;0201DecodingIntensityStdDev_700:129.268;0201DecodingIntensityStdDev_750:11.785;0201F_on:0.0192;0201FillPercent:011.53;0201KineticInconsistentLower:0;0201KineticInconsistentMetadata:-571.083595561203|2.49;0201MeanDecodingIntensity:496.75;0201MeanDecodingIntensity_488:139.86;0201MeanDecodingIntensity_647:99.47;0201MeanDecodingIntensity_700:496.75;0201MeanDecodingIntensity_750:64.92;0201ReflectiveIntensity:13019.85;0201ReflectiveIntensityStdDev:541.544;0201SealTimeEstimate:18.3;2001_DecodingIntensityStdDev_577F1:31.580;2001_DecodingIntensityStdDev_577F2:45.859;2001_MeanDecodingIntensity_577F1:434.90;2001_MeanDecodingIntensity_577F2:441.19;2001AEB:00.0129;2001DecodingIntensityStdDev:228.173;2001DecodingIntensityStdDev_488:32.431;2001DecodingIntensityStdDev_647:6.223;2001DecodingIntensityStdDev_700:6.140;2001DecodingIntensityStdDev_750:228.173;2001F_on:0.0128;2001FillPercent:010.90;2001KineticInconsistentLower:0;2001KineticInconsistentMetadata:-605.397779960156|2.5;2001MeanDecodingIntensity:916.98;2001MeanDecodingIntensity_488:139.44;2001MeanDecodingIntensity_647:37.81;2001MeanDecodingIntensity_700:34.41;2001MeanDecodingIntensity_750:916.98;2001ReflectiveIntensity:13011.06;2001ReflectiveIntensityStdDev:538.055;2001SealTimeEstimate:18.2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12.35;Empties488F1MeanIntensity:70.35;Empties577F1IntensityStdDev:20.56;Empties577F1MeanIntensity:379.39;Empties577F2IntensityStdDev:25.87;Empties577F2MeanIntensity:378.16;Empties647F1IntensityStdDev:4.44;Empties647F1MeanIntensity:31.47;Empties700F1IntensityStdDev:4.46;Empties700F1MeanIntensity:29.45;Empties750F1IntensityStdDev:5.39;Empties750F1MeanIntensity:33.88;EmptiesIGrowth:236.86;EmptiesReflectiveIntensityStdDev:290.95;EmptiesReflectiveMeanIntensity:11833.37;Errors:;F2minusF1Shift:-2.1;FluorescenceClassification:Normal;Focus_FracImageLost:0.00;FocusScoresAvg:3.43;FocusScoresImageCenter:4.67;FocusScoresMax:5.23;FocusScoresMedian:3.45;FractionImageDebris:0.0861;FractionWellsDebris:0.0956;ImageQualityScoreIfUnpegged:1.00;IndexingWellsMissingFromFov:0;IndexingWellsTotalLostBothVisibleAndMissing:0;IndexingWellsVisibleInFovButRemoved:0;L1DR time (ms):30745;NetBeadFillRate:34.07;NormalizedFillPercentage:048.56;Notes:Xtalk: usable out of spec wv 577 sr 4 dir 5 value 0.038. | Xtalk: usable out of spec wv 577 sr 8 dir 5 value 0.038.;NumberDecSaturated:1;NumberEmpties:61190;NumberFlagged_DeadPixels:78.0000;NumberFlagged_Debris:18415.0000;NumberFlagged_MissingNeighbor:2923.0000;NumberFlagged_NeighborSaturated:06.0000;NumberFlagged_OddlyRecurrentClassification:249.0000;NumberFlagged_OutOfBounds:4077.0000;NumberFlagged_SaturatedPixelDecodingFour:01.0000;NumberInvalidWells:22992;NumberPositiveEmpties:65;NumberPositives:4912;NumberResSaturated:0;NumberSaturatedWithoutDebris:0;NumberValidUnclassified:50597.00;NumberValidWells:169560;OddlyAggregatedFlag:2;OddlyAggregatedLocations:;OddlyAggregatedWorst:0;OffsetW488:( 0, -1 );OffsetW577:( 0, 0 );OffsetW647:( 0, 0 );OffsetW700:( 0, -1 );OffsetW750:( 0, -1 );ResorufinUnsaturated:0;ResorufinUnsaturatedMutated:0;ResorufinUnsaturaterNumberInFit:18;SaturatedDecodingWells:1;SuspiciousWells:22018;SuspiciousWellsFlagged:1;SuspiciousWellsLowerThreshold:5;Warnings:;WhiteLightChannelMedian:9946;XtalkSubregionsOutOfSpec:0</t>
  </si>
  <si>
    <t>Calibrator G</t>
  </si>
  <si>
    <t>Plate 1 - Well G1</t>
  </si>
  <si>
    <t>0002_DecodingIntensityStdDev_577F1:88.353;0002_DecodingIntensityStdDev_577F2:214.459;0002_MeanDecodingIntensity_577F1:459.05;0002_MeanDecodingIntensity_577F2:529.56;0002AEB:00.3548;0002DecodingIntensityStdDev:373.008;0002DecodingIntensityStdDev_488:373.008;0002DecodingIntensityStdDev_647:5.304;0002DecodingIntensityStdDev_700:5.451;0002DecodingIntensityStdDev_750:6.973;0002F_on:0.2987;0002FillPercent:017.08;0002KineticInconsistentLower:0;0002KineticInconsistentMetadata:-642.758616575013|2.64;0002MeanDecodingIntensity:1563.66;0002MeanDecodingIntensity_488:1563.66;0002MeanDecodingIntensity_647:35.11;0002MeanDecodingIntensity_700:30.84;0002MeanDecodingIntensity_750:36.16;0002ReflectiveIntensity:13236.11;0002ReflectiveIntensityStdDev:592.024;0002SealTimeEstimate:16.6;0021_DecodingIntensityStdDev_577F1:30.061;0021_DecodingIntensityStdDev_577F2:56.930;0021_MeanDecodingIntensity_577F1:416.29;0021_MeanDecodingIntensity_577F2:427.00;0021AEB:00.0345;0021DecodingIntensityStdDev:89.807;0021DecodingIntensityStdDev_488:26.383;0021DecodingIntensityStdDev_647:89.807;0021DecodingIntensityStdDev_700:10.845;0021DecodingIntensityStdDev_750:7.511;0021F_on:0.0339;0021FillPercent:010.56;0021KineticInconsistentLower:0;0021KineticInconsistentMetadata:-678.572447208281|2.72;0021MeanDecodingIntensity:426.10;0021MeanDecodingIntensity_488:141.77;0021MeanDecodingIntensity_647:426.10;0021MeanDecodingIntensity_700:69.41;0021MeanDecodingIntensity_750:36.36;0021ReflectiveIntensity:13011.10;0021ReflectiveIntensityStdDev:485.485;0021SealTimeEstimate:15.8;0201_DecodingIntensityStdDev_577F1:36.992;0201_DecodingIntensityStdDev_577F2:71.407;0201_MeanDecodingIntensity_577F1:418.26;0201_MeanDecodingIntensity_577F2:429.71;0201AEB:00.0435;0201DecodingIntensityStdDev:133.221;0201DecodingIntensityStdDev_488:40.670;0201DecodingIntensityStdDev_647:43.780;0201DecodingIntensityStdDev_700:133.221;0201DecodingIntensityStdDev_750:14.996;0201F_on:0.0426;0201FillPercent:012.44;0201KineticInconsistentLower:0;0201KineticInconsistentMetadata:-615.827393255172|2.57;0201MeanDecodingIntensity:506.27;0201MeanDecodingIntensity_488:147.06;0201MeanDecodingIntensity_647:106.72;0201MeanDecodingIntensity_700:506.27;0201MeanDecodingIntensity_750:67.29;0201ReflectiveIntensity:13093.83;0201ReflectiveIntensityStdDev:557.975;0201SealTimeEstimate:17.3;2001_DecodingIntensityStdDev_577F1:36.232;2001_DecodingIntensityStdDev_577F2:64.165;2001_MeanDecodingIntensity_577F1:446.81;2001_MeanDecodingIntensity_577F2:458.62;2001AEB:00.0388;2001DecodingIntensityStdDev:246.948;2001DecodingIntensityStdDev_488:54.904;2001DecodingIntensityStdDev_647:10.141;2001DecodingIntensityStdDev_700:7.090;2001DecodingIntensityStdDev_750:246.948;2001F_on:0.0380;2001FillPercent:011.81;2001KineticInconsistentLower:0;2001KineticInconsistentMetadata:-675.528740466275|2.61;2001MeanDecodingIntensity:948.69;2001MeanDecodingIntensity_488:147.78;2001MeanDecodingIntensity_647:38.71;2001MeanDecodingIntensity_700:35.20;2001MeanDecodingIntensity_750:948.69;2001ReflectiveIntensity:13070.37;2001ReflectiveIntensityStdDev:551.978;2001SealTimeEstimate:16.9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14.21;Empties488F1MeanIntensity:72.23;Empties577F1IntensityStdDev:23.52;Empties577F1MeanIntensity:385.48;Empties577F2IntensityStdDev:42.52;Empties577F2MeanIntensity:384.42;Empties647F1IntensityStdDev:4.71;Empties647F1MeanIntensity:31.69;Empties700F1IntensityStdDev:4.82;Empties700F1MeanIntensity:29.77;Empties750F1IntensityStdDev:5.80;Empties750F1MeanIntensity:34.22;EmptiesIGrowth:412.45;EmptiesReflectiveIntensityStdDev:289.35;EmptiesReflectiveMeanIntensity:11864.71;Errors:;F2minusF1Shift:-1.2;FluorescenceClassification:Normal;Focus_FracImageLost:0.01;FocusScoresAvg:3.46;FocusScoresImageCenter:5.03;FocusScoresMax:5.15;FocusScoresMedian:3.64;FractionImageDebris:0.1137;FractionWellsDebris:0.1169;ImageQualityScoreIfUnpegged:0.60;IndexingWellsMissingFromFov:0;IndexingWellsTotalLostBothVisibleAndMissing:0;IndexingWellsVisibleInFovButRemoved:0;L1DR time (ms):30281;NetBeadFillRate:36.39;NormalizedFillPercentage:051.90;Notes:Xtalk: usable out of spec wv 577 sr 0 dir 5 value 0.038. | Xtalk: usable out of spec wv 577 sr 4 dir 5 value 0.048. | Xtalk: usable out of spec wv 700 sr 8 dir 5 value 0.036.;NumberDecSaturated:0;NumberEmpties:51576;NumberFlagged_DeadPixels:69.0000;NumberFlagged_Debris:22358.0000;NumberFlagged_MissingNeighbor:5833.0000;NumberFlagged_OddlyRecurrentClassification:10679.0000;NumberFlagged_OutOfBounds:3952.0000;NumberFlagged_OutOfFocus:1648.0000;NumberFlagged_OutOfSpecXtalk:15352.0000;NumberInvalidWells:38372;NumberPositiveEmpties:136;NumberPositives:15667;NumberResSaturated:0;NumberSaturatedWithoutDebris:0;NumberValidUnclassified:45688.00;NumberValidWells:152911;OddlyAggregatedFlag:2;OddlyAggregatedLocations:;OddlyAggregatedWorst:0;OffsetW488:( 1, -1 );OffsetW577:( 0, 0 );OffsetW647:( 0, 0 );OffsetW700:( 0, -1 );OffsetW750:( 0, -1 );ResorufinUnsaturated:0;ResorufinUnsaturatedMutated:0;ResorufinUnsaturaterNumberInFit:74;SaturatedDecodingWells:0;SuspiciousWells:23397;SuspiciousWellsFlagged:1;SuspiciousWellsLowerThreshold:5;Warnings:Xtalk: unusable out of spec wv 577 sr 8 dir 5 value 0.053.;WhiteLightChannelMedian:9957;XtalkSubregionsOutOfSpec:1</t>
  </si>
  <si>
    <t>0002_DecodingIntensityStdDev_577F1:97.719;0002_DecodingIntensityStdDev_577F2:220.985;0002_MeanDecodingIntensity_577F1:454.12;0002_MeanDecodingIntensity_577F2:523.13;0002AEB:00.3469;0002DecodingIntensityStdDev:339.017;0002DecodingIntensityStdDev_488:339.017;0002DecodingIntensityStdDev_647:4.706;0002DecodingIntensityStdDev_700:4.663;0002DecodingIntensityStdDev_750:5.785;0002F_on:0.2931;0002FillPercent:014.83;0002KineticInconsistentLower:0;0002KineticInconsistentMetadata:-569.07512218148|2.47;0002MeanDecodingIntensity:1588.72;0002MeanDecodingIntensity_488:1588.72;0002MeanDecodingIntensity_647:34.42;0002MeanDecodingIntensity_700:30.06;0002MeanDecodingIntensity_750:34.71;0002ReflectiveIntensity:13178.07;0002ReflectiveIntensityStdDev:572.590;0002SealTimeEstimate:18.6;0021_DecodingIntensityStdDev_577F1:32.645;0021_DecodingIntensityStdDev_577F2:57.712;0021_MeanDecodingIntensity_577F1:406.17;0021_MeanDecodingIntensity_577F2:417.16;0021AEB:00.0365;0021DecodingIntensityStdDev:79.678;0021DecodingIntensityStdDev_488:19.032;0021DecodingIntensityStdDev_647:79.678;0021DecodingIntensityStdDev_700:9.310;0021DecodingIntensityStdDev_750:5.908;0021F_on:0.0358;0021FillPercent:009.02;0021KineticInconsistentLower:0;0021KineticInconsistentMetadata:-564.433383146221|2.47;0021MeanDecodingIntensity:428.74;0021MeanDecodingIntensity_488:132.89;0021MeanDecodingIntensity_647:428.74;0021MeanDecodingIntensity_700:69.26;0021MeanDecodingIntensity_750:34.70;0021ReflectiveIntensity:12909.18;0021ReflectiveIntensityStdDev:457.121;0021SealTimeEstimate:18.6;0201_DecodingIntensityStdDev_577F1:32.331;0201_DecodingIntensityStdDev_577F2:57.222;0201_MeanDecodingIntensity_577F1:405.60;0201_MeanDecodingIntensity_577F2:416.12;0201AEB:00.0300;0201DecodingIntensityStdDev:100.840;0201DecodingIntensityStdDev_488:20.898;0201DecodingIntensityStdDev_647:14.634;0201DecodingIntensityStdDev_700:100.840;0201DecodingIntensityStdDev_750:9.434;0201F_on:0.0295;0201FillPercent:010.12;0201KineticInconsistentLower:0;0201KineticInconsistentMetadata:-576.270205382285|2.5;0201MeanDecodingIntensity:506.60;0201MeanDecodingIntensity_488:134.36;0201MeanDecodingIntensity_647:98.01;0201MeanDecodingIntensity_700:506.60;0201MeanDecodingIntensity_750:64.44;0201ReflectiveIntensity:12942.22;0201ReflectiveIntensityStdDev:475.599;0201SealTimeEstimate:18.2;2001_DecodingIntensityStdDev_577F1:34.116;2001_DecodingIntensityStdDev_577F2:56.962;2001_MeanDecodingIntensity_577F1:435.85;2001_MeanDecodingIntensity_577F2:446.62;2001AEB:00.0311;2001DecodingIntensityStdDev:199.085;2001DecodingIntensityStdDev_488:20.467;2001DecodingIntensityStdDev_647:5.032;2001DecodingIntensityStdDev_700:5.174;2001DecodingIntensityStdDev_750:199.085;2001F_on:0.0306;2001FillPercent:009.71;2001KineticInconsistentLower:0;2001KineticInconsistentMetadata:-614.910722847725|2.49;2001MeanDecodingIntensity:976.06;2001MeanDecodingIntensity_488:134.21;2001MeanDecodingIntensity_647:37.41;2001MeanDecodingIntensity_700:34.01;2001MeanDecodingIntensity_750:976.06;2001ReflectiveIntensity:12949.59;2001ReflectiveIntensityStdDev:496.165;2001SealTimeEstimate:18.3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10.80;Empties488F1MeanIntensity:64.15;Empties577F1IntensityStdDev:25.68;Empties577F1MeanIntensity:371.90;Empties577F2IntensityStdDev:32.26;Empties577F2MeanIntensity:371.65;Empties647F1IntensityStdDev:4.19;Empties647F1MeanIntensity:31.16;Empties700F1IntensityStdDev:4.18;Empties700F1MeanIntensity:29.14;Empties750F1IntensityStdDev:4.98;Empties750F1MeanIntensity:33.36;EmptiesIGrowth:299.92;EmptiesReflectiveIntensityStdDev:265.76;EmptiesReflectiveMeanIntensity:11734.03;Errors:;F2minusF1Shift:-2.3;FluorescenceClassification:Normal;Focus_FracImageLost:0.00;FocusScoresAvg:3.33;FocusScoresImageCenter:4.76;FocusScoresMax:4.82;FocusScoresMedian:3.37;FractionImageDebris:0.0526;FractionWellsDebris:0.0604;ImageQualityScoreIfUnpegged:1.00;IndexingWellsMissingFromFov:0;IndexingWellsTotalLostBothVisibleAndMissing:0;IndexingWellsVisibleInFovButRemoved:0;L1DR time (ms):28232;NetBeadFillRate:30.67;NormalizedFillPercentage:043.68;Notes:Xtalk: usable out of spec wv 577 sr 8 dir 5 value 0.041.;NumberDecSaturated:0;NumberEmpties:69699;NumberFlagged_DeadPixels:88.0000;NumberFlagged_Debris:11635.0000;NumberFlagged_MissingNeighbor:2520.0000;NumberFlagged_OutOfBounds:4189.0000;NumberInvalidWells:16376;NumberPositiveEmpties:74;NumberPositives:12387;NumberResSaturated:0;NumberSaturatedWithoutDebris:0;NumberValidUnclassified:52468.00;NumberValidWells:176214;OddlyAggregatedFlag:2;OddlyAggregatedLocations:;OddlyAggregatedWorst:0;OffsetW488:( 1, -1 );OffsetW577:( 0, 0 );OffsetW647:( 0, 0 );OffsetW700:( 0, -1 );OffsetW750:( 0, -1 );ResorufinUnsaturated:0;ResorufinUnsaturatedMutated:0;ResorufinUnsaturaterNumberInFit:90;SaturatedDecodingWells:1;SuspiciousWells:30890;SuspiciousWellsFlagged:1;SuspiciousWellsLowerThreshold:3;Warnings:;WhiteLightChannelMedian:9811;XtalkSubregionsOutOfSpec:0</t>
  </si>
  <si>
    <t>0002_DecodingIntensityStdDev_577F1:93.277;0002_DecodingIntensityStdDev_577F2:218.283;0002_MeanDecodingIntensity_577F1:462.76;0002_MeanDecodingIntensity_577F2:537.61;0002AEB:00.3737;0002DecodingIntensityStdDev:424.997;0002DecodingIntensityStdDev_488:424.997;0002DecodingIntensityStdDev_647:5.771;0002DecodingIntensityStdDev_700:6.006;0002DecodingIntensityStdDev_750:7.950;0002F_on:0.3118;0002FillPercent:016.69;0002KineticInconsistentLower:0;0002KineticInconsistentMetadata:-576.669423904848|2.52;0002MeanDecodingIntensity:1609.36;0002MeanDecodingIntensity_488:1609.36;0002MeanDecodingIntensity_647:35.93;0002MeanDecodingIntensity_700:31.37;0002MeanDecodingIntensity_750:37.47;0002ReflectiveIntensity:13522.85;0002ReflectiveIntensityStdDev:626.442;0002SealTimeEstimate:17.9;0021_DecodingIntensityStdDev_577F1:34.672;0021_DecodingIntensityStdDev_577F2:62.757;0021_MeanDecodingIntensity_577F1:418.50;0021_MeanDecodingIntensity_577F2:431.67;0021AEB:00.0435;0021DecodingIntensityStdDev:117.138;0021DecodingIntensityStdDev_488:41.895;0021DecodingIntensityStdDev_647:117.138;0021DecodingIntensityStdDev_700:17.623;0021DecodingIntensityStdDev_750:9.389;0021F_on:0.0426;0021FillPercent:011.16;0021KineticInconsistentLower:0;0021KineticInconsistentMetadata:-572.879009648001|2.47;0021MeanDecodingIntensity:449.67;0021MeanDecodingIntensity_488:152.30;0021MeanDecodingIntensity_647:449.67;0021MeanDecodingIntensity_700:73.12;0021MeanDecodingIntensity_750:37.96;0021ReflectiveIntensity:13330.94;0021ReflectiveIntensityStdDev:556.146;0021SealTimeEstimate:18.6;0201_DecodingIntensityStdDev_577F1:40.890;0201_DecodingIntensityStdDev_577F2:72.307;0201_MeanDecodingIntensity_577F1:423.19;0201_MeanDecodingIntensity_577F2:437.50;0201AEB:00.0446;0201DecodingIntensityStdDev:160.578;0201DecodingIntensityStdDev_488:112.164;0201DecodingIntensityStdDev_647:83.009;0201DecodingIntensityStdDev_700:160.578;0201DecodingIntensityStdDev_750:26.813;0201F_on:0.0436;0201FillPercent:013.67;0201KineticInconsistentLower:0;0201KineticInconsistentMetadata:-582.416138379285|2.46;0201MeanDecodingIntensity:535.43;0201MeanDecodingIntensity_488:174.04;0201MeanDecodingIntensity_647:126.26;0201MeanDecodingIntensity_700:535.43;0201MeanDecodingIntensity_750:71.97;0201ReflectiveIntensity:13475.95;0201ReflectiveIntensityStdDev:659.322;0201SealTimeEstimate:18.7;2001_DecodingIntensityStdDev_577F1:45.226;2001_DecodingIntensityStdDev_577F2:78.852;2001_MeanDecodingIntensity_577F1:453.72;2001_MeanDecodingIntensity_577F2:469.29;2001AEB:00.0551;2001DecodingIntensityStdDev:291.219;2001DecodingIntensityStdDev_488:161.044;2001DecodingIntensityStdDev_647:21.005;2001DecodingIntensityStdDev_700:10.216;2001DecodingIntensityStdDev_750:291.219;2001F_on:0.0536;2001FillPercent:012.67;2001KineticInconsistentLower:0;2001KineticInconsistentMetadata:-574.494796586608|2.37;2001MeanDecodingIntensity:1013.23;2001MeanDecodingIntensity_488:188.06;2001MeanDecodingIntensity_647:41.73;2001MeanDecodingIntensity_700:36.54;2001MeanDecodingIntensity_750:1013.23;2001ReflectiveIntensity:13438.80;2001ReflectiveIntensityStdDev:640.997;2001SealTimeEstimate:20.0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15.74;Empties488F1MeanIntensity:73.33;Empties577F1IntensityStdDev:26.68;Empties577F1MeanIntensity:383.40;Empties577F2IntensityStdDev:53.85;Empties577F2MeanIntensity:383.64;Empties647F1IntensityStdDev:4.92;Empties647F1MeanIntensity:31.83;Empties700F1IntensityStdDev:5.11;Empties700F1MeanIntensity:29.83;Empties750F1IntensityStdDev:6.39;Empties750F1MeanIntensity:34.70;EmptiesIGrowth:540.04;EmptiesReflectiveIntensityStdDev:323.04;EmptiesReflectiveMeanIntensity:12018.88;Errors:;F2minusF1Shift:-3.5;FluorescenceClassification:Normal;Focus_FracImageLost:0.00;FocusScoresAvg:3.64;FocusScoresImageCenter:5.76;FocusScoresMax:5.94;FocusScoresMedian:3.73;FractionImageDebris:0.1392;FractionWellsDebris:0.1473;ImageQualityScoreIfUnpegged:1.00;IndexingWellsMissingFromFov:0;IndexingWellsTotalLostBothVisibleAndMissing:0;IndexingWellsVisibleInFovButRemoved:0;L1DR time (ms):25246;NetBeadFillRate:37.98;NormalizedFillPercentage:054.19;Notes:Xtalk: usable out of spec wv 577 sr 4 dir 5 value 0.048. | Xtalk: usable out of spec wv 577 sr 8 dir 5 value 0.046. | Xtalk: usable out of spec wv 700 sr 4 dir 5 value 0.036. | Xtalk: usable out of spec wv 700 sr 8 dir 5 value 0.041.;NumberDecSaturated:0;NumberEmpties:50119;NumberFlagged_DeadPixels:87.0000;NumberFlagged_Debris:28253.0000;NumberFlagged_MissingNeighbor:4452.0000;NumberFlagged_OddlyRecurrentClassification:8304.0000;NumberFlagged_OutOfBounds:3963.0000;NumberInvalidWells:35682;NumberPositiveEmpties:111;NumberPositives:19032;NumberResSaturated:0;NumberSaturatedWithoutDebris:0;NumberValidUnclassified:46698.00;NumberValidWells:156115;OddlyAggregatedFlag:2;OddlyAggregatedLocations:;OddlyAggregatedWorst:0;OffsetW488:( 1, 0 );OffsetW577:( 0, 0 );OffsetW647:( 0, 0 );OffsetW700:( 0, 0 );OffsetW750:( 0, -1 );ResorufinUnsaturated:0;ResorufinUnsaturatedMutated:0;ResorufinUnsaturaterNumberInFit:113;SaturatedDecodingWells:0;SuspiciousWells:24167;SuspiciousWellsFlagged:1;SuspiciousWellsLowerThreshold:7;Warnings:;WhiteLightChannelMedian:10142;XtalkSubregionsOutOfSpec:0</t>
  </si>
  <si>
    <t>Calibrator H</t>
  </si>
  <si>
    <t>Plate 1 - Well H1</t>
  </si>
  <si>
    <t>Analog</t>
  </si>
  <si>
    <t>0002_DecodingIntensityStdDev_577F1:240.826;0002_DecodingIntensityStdDev_577F2:521.813;0002_MeanDecodingIntensity_577F1:664.59;0002_MeanDecodingIntensity_577F2:988.34;0002AEB:-;0002DecodingIntensityStdDev:355.432;0002DecodingIntensityStdDev_488:355.432;0002DecodingIntensityStdDev_647:4.678;0002DecodingIntensityStdDev_700:4.492;0002DecodingIntensityStdDev_750:5.616;0002F_on:0.8247;0002FillPercent:013.44;0002KineticInconsistentLower:0;0002KineticInconsistentMetadata:-558.490588829663|2.41;0002MeanDecodingIntensity:1705.57;0002MeanDecodingIntensity_488:1705.57;0002MeanDecodingIntensity_647:35.20;0002MeanDecodingIntensity_700:30.01;0002MeanDecodingIntensity_750:34.68;0002ReflectiveIntensity:13557.67;0002ReflectiveIntensityStdDev:623.711;0002SealTimeEstimate:19.4;0021_DecodingIntensityStdDev_577F1:32.991;0021_DecodingIntensityStdDev_577F2:56.792;0021_MeanDecodingIntensity_577F1:407.90;0021_MeanDecodingIntensity_577F2:417.36;0021AEB:00.0266;0021DecodingIntensityStdDev:86.137;0021DecodingIntensityStdDev_488:18.873;0021DecodingIntensityStdDev_647:86.137;0021DecodingIntensityStdDev_700:9.877;0021DecodingIntensityStdDev_750:5.628;0021F_on:0.0263;0021FillPercent:008.26;0021KineticInconsistentLower:0;0021KineticInconsistentMetadata:-522.559941877942|2.36;0021MeanDecodingIntensity:456.01;0021MeanDecodingIntensity_488:138.42;0021MeanDecodingIntensity_647:456.01;0021MeanDecodingIntensity_700:71.75;0021MeanDecodingIntensity_750:34.54;0021ReflectiveIntensity:13286.20;0021ReflectiveIntensityStdDev:537.736;0021SealTimeEstimate:20.1;0201_DecodingIntensityStdDev_577F1:35.425;0201_DecodingIntensityStdDev_577F2:63.227;0201_MeanDecodingIntensity_577F1:407.20;0201_MeanDecodingIntensity_577F2:417.08;0201AEB:00.0253;0201DecodingIntensityStdDev:105.435;0201DecodingIntensityStdDev_488:20.687;0201DecodingIntensityStdDev_647:15.121;0201DecodingIntensityStdDev_700:105.435;0201DecodingIntensityStdDev_750:9.573;0201F_on:0.0250;0201FillPercent:009.32;0201KineticInconsistentLower:0;0201KineticInconsistentMetadata:-511.902914303709|2.35;0201MeanDecodingIntensity:533.27;0201MeanDecodingIntensity_488:139.73;0201MeanDecodingIntensity_647:101.60;0201MeanDecodingIntensity_700:533.27;0201MeanDecodingIntensity_750:65.55;0201ReflectiveIntensity:13311.14;0201ReflectiveIntensityStdDev:540.940;0201SealTimeEstimate:20.3;2001_DecodingIntensityStdDev_577F1:38.843;2001_DecodingIntensityStdDev_577F2:66.591;2001_MeanDecodingIntensity_577F1:440.36;2001_MeanDecodingIntensity_577F2:450.13;2001AEB:00.0264;2001DecodingIntensityStdDev:219.973;2001DecodingIntensityStdDev_488:20.586;2001DecodingIntensityStdDev_647:5.081;2001DecodingIntensityStdDev_700:5.162;2001DecodingIntensityStdDev_750:219.973;2001F_on:0.0261;2001FillPercent:008.97;2001KineticInconsistentLower:0;2001KineticInconsistentMetadata:-536.043943582963|2.32;2001MeanDecodingIntensity:1022.26;2001MeanDecodingIntensity_488:139.81;2001MeanDecodingIntensity_647:38.12;2001MeanDecodingIntensity_700:34.33;2001MeanDecodingIntensity_750:1022.26;2001ReflectiveIntensity:13326.68;2001ReflectiveIntensityStdDev:571.487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10.59;Empties488F1MeanIntensity:64.85;Empties577F1IntensityStdDev:37.64;Empties577F1MeanIntensity:368.66;Empties577F2IntensityStdDev:56.91;Empties577F2MeanIntensity:369.87;Empties647F1IntensityStdDev:4.15;Empties647F1MeanIntensity:31.36;Empties700F1IntensityStdDev:4.10;Empties700F1MeanIntensity:29.21;Empties750F1IntensityStdDev:4.93;Empties750F1MeanIntensity:33.48;EmptiesIGrowth:394.51;EmptiesReflectiveIntensityStdDev:324.94;EmptiesReflectiveMeanIntensity:11975.47;Errors:;F2minusF1Shift:-1.7;FittedF2OverF1Intercept:-403.781507844496;FittedF2OverF1Slope:2.07184808044634;FluorescenceClassification:Normal;Focus_FracImageLost:0.00;FocusScoresAvg:3.63;FocusScoresImageCenter:4.56;FocusScoresMax:4.96;FocusScoresMedian:3.59;FractionImageDebris:0.0739;FractionWellsDebris:0.0852;ImageQualityScoreIfUnpegged:1.00;IndexingWellsMissingFromFov:0;IndexingWellsTotalLostBothVisibleAndMissing:0;IndexingWellsVisibleInFovButRemoved:0;L1DR time (ms):27039;NetBeadFillRate:28.09;NormalizedFillPercentage:039.99;Notes:;NumberDecSaturated:0;NumberEmpties:72173;NumberFlagged_DeadPixels:85.0000;NumberFlagged_Debris:16394.0000;NumberFlagged_MissingNeighbor:2895.0000;NumberFlagged_NeighborSaturated:06.0000;NumberFlagged_OutOfBounds:4145.0000;NumberFlagged_SaturatedPixelResorufinTwo:01.0000;NumberFlagged_SaturationRemoverSuspiciousF1:01.0000;NumberInvalidWells:21278;NumberPositiveEmpties:229;NumberPositives:27615;NumberResSaturated:1;NumberSaturatedWithoutDebris:1;NumberValidUnclassified:50950.00;NumberValidWells:171210;OddlyAggregatedFlag:2;OddlyAggregatedLocations:;OddlyAggregatedWorst:0;OffsetW488:( 1, -1 );OffsetW577:( 0, 0 );OffsetW647:( 0, 0 );OffsetW700:( 0, 0 );OffsetW750:( 0, -1 );ResorufinUnsaturated:1;ResorufinUnsaturatedMutated:0;ResorufinUnsaturatedSuspiciousF1:1;ResorufinUnsaturaterNumberInFit:2776;SaturatedDecodingWells:0;SuspiciousWells:21801;SuspiciousWellsFlagged:1;SuspiciousWellsLowerThreshold:5;Warnings:;WhiteLightChannelMedian:9913;XtalkSubregionsOutOfSpec:0</t>
  </si>
  <si>
    <t>0002_DecodingIntensityStdDev_577F1:260.153;0002_DecodingIntensityStdDev_577F2:572.513;0002_MeanDecodingIntensity_577F1:702.31;0002_MeanDecodingIntensity_577F2:1071.25;0002AEB:-;0002DecodingIntensityStdDev:331.683;0002DecodingIntensityStdDev_488:331.683;0002DecodingIntensityStdDev_647:4.679;0002DecodingIntensityStdDev_700:4.496;0002DecodingIntensityStdDev_750:5.571;0002F_on:0.8360;0002FillPercent:012.13;0002KineticInconsistentLower:0;0002KineticInconsistentMetadata:-589.818869768368|2.45;0002MeanDecodingIntensity:1643.95;0002MeanDecodingIntensity_488:1643.95;0002MeanDecodingIntensity_647:35.18;0002MeanDecodingIntensity_700:30.09;0002MeanDecodingIntensity_750:34.62;0002ReflectiveIntensity:13395.22;0002ReflectiveIntensityStdDev:581.310;0002SealTimeEstimate:18.8;0021_DecodingIntensityStdDev_577F1:37.433;0021_DecodingIntensityStdDev_577F2:71.608;0021_MeanDecodingIntensity_577F1:420.30;0021_MeanDecodingIntensity_577F2:432.79;0021AEB:00.0288;0021DecodingIntensityStdDev:80.571;0021DecodingIntensityStdDev_488:19.289;0021DecodingIntensityStdDev_647:80.571;0021DecodingIntensityStdDev_700:9.426;0021DecodingIntensityStdDev_750:5.728;0021F_on:0.0284;0021FillPercent:007.50;0021KineticInconsistentLower:0;0021KineticInconsistentMetadata:-570.129091697672|2.44;0021MeanDecodingIntensity:439.83;0021MeanDecodingIntensity_488:138.09;0021MeanDecodingIntensity_647:439.83;0021MeanDecodingIntensity_700:69.84;0021MeanDecodingIntensity_750:34.60;0021ReflectiveIntensity:13159.91;0021ReflectiveIntensityStdDev:496.994;0021SealTimeEstimate:19.0;0201_DecodingIntensityStdDev_577F1:38.373;0201_DecodingIntensityStdDev_577F2:73.958;0201_MeanDecodingIntensity_577F1:419.35;0201_MeanDecodingIntensity_577F2:431.83;0201AEB:00.0258;0201DecodingIntensityStdDev:98.588;0201DecodingIntensityStdDev_488:21.315;0201DecodingIntensityStdDev_647:14.207;0201DecodingIntensityStdDev_700:98.588;0201DecodingIntensityStdDev_750:9.348;0201F_on:0.0255;0201FillPercent:008.26;0201KineticInconsistentLower:0;0201KineticInconsistentMetadata:-589.145126365851|2.47;0201MeanDecodingIntensity:517.68;0201MeanDecodingIntensity_488:139.77;0201MeanDecodingIntensity_647:100.78;0201MeanDecodingIntensity_700:517.68;0201MeanDecodingIntensity_750:65.54;0201ReflectiveIntensity:13181.83;0201ReflectiveIntensityStdDev:494.469;0201SealTimeEstimate:18.6;2001_DecodingIntensityStdDev_577F1:38.866;2001_DecodingIntensityStdDev_577F2:71.331;2001_MeanDecodingIntensity_577F1:450.08;2001_MeanDecodingIntensity_577F2:462.49;2001AEB:00.0285;2001DecodingIntensityStdDev:199.309;2001DecodingIntensityStdDev_488:21.090;2001DecodingIntensityStdDev_647:5.075;2001DecodingIntensityStdDev_700:5.070;2001DecodingIntensityStdDev_750:199.309;2001F_on:0.0281;2001FillPercent:008.01;2001KineticInconsistentLower:0;2001KineticInconsistentMetadata:-635.916143992063|2.48;2001MeanDecodingIntensity:986.36;2001MeanDecodingIntensity_488:139.56;2001MeanDecodingIntensity_647:37.94;2001MeanDecodingIntensity_700:34.10;2001MeanDecodingIntensity_750:986.36;2001ReflectiveIntensity:13182.87;2001ReflectiveIntensityStdDev:521.848;2001SealTimeEstimate:18.4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11.21;Empties488F1MeanIntensity:69.73;Empties577F1IntensityStdDev:28.81;Empties577F1MeanIntensity:392.52;Empties577F2IntensityStdDev:50.19;Empties577F2MeanIntensity:394.13;Empties647F1IntensityStdDev:4.18;Empties647F1MeanIntensity:31.61;Empties700F1IntensityStdDev:4.06;Empties700F1MeanIntensity:29.27;Empties750F1IntensityStdDev:4.90;Empties750F1MeanIntensity:33.62;EmptiesIGrowth:437.27;EmptiesReflectiveIntensityStdDev:311.33;EmptiesReflectiveMeanIntensity:11933.00;Errors:;F2minusF1Shift:-1.8;FittedF2OverF1Intercept:-385.329399957162;FittedF2OverF1Slope:2.07393634258872;FluorescenceClassification:Normal;Focus_FracImageLost:0.00;FocusScoresAvg:3.54;FocusScoresImageCenter:4.69;FocusScoresMax:5.02;FocusScoresMedian:3.51;FractionImageDebris:0.1114;FractionWellsDebris:0.1219;ImageQualityScoreIfUnpegged:1.00;IndexingWellsMissingFromFov:0;IndexingWellsTotalLostBothVisibleAndMissing:0;IndexingWellsVisibleInFovButRemoved:0;L1DR time (ms):27551;NetBeadFillRate:25.22;NormalizedFillPercentage:035.90;Notes:Xtalk: usable out of spec wv 577 sr 8 dir 5 value 0.036.;NumberDecSaturated:0;NumberEmpties:74304;NumberFlagged_DeadPixels:71.0000;NumberFlagged_Debris:23461.0000;NumberFlagged_MissingNeighbor:2255.0000;NumberFlagged_NeighborSaturated:06.0000;NumberFlagged_OddlyRecurrentClassification:639.0000;NumberFlagged_OutOfBounds:4151.0000;NumberFlagged_SaturatedPixelResorufinTwo:01.0000;NumberFlagged_SaturationRemoverSuspiciousF1:01.0000;NumberInvalidWells:27547;NumberPositiveEmpties:199;NumberPositives:24762;NumberResSaturated:1;NumberSaturatedWithoutDebris:1;NumberValidUnclassified:49051.00;NumberValidWells:164961;OddlyAggregatedFlag:2;OddlyAggregatedLocations:;OddlyAggregatedWorst:0;OffsetW488:( 1, 0 );OffsetW577:( 0, 0 );OffsetW647:( 0, 0 );OffsetW700:( 0, -1 );OffsetW750:( 0, -1 );ResorufinUnsaturated:1;ResorufinUnsaturatedMutated:0;ResorufinUnsaturatedSuspiciousF1:1;ResorufinUnsaturaterNumberInFit:3228;SaturatedDecodingWells:0;SuspiciousWells:23310;SuspiciousWellsFlagged:1;SuspiciousWellsLowerThreshold:4;Warnings:;WhiteLightChannelMedian:9866;XtalkSubregionsOutOfSpec:0</t>
  </si>
  <si>
    <t>0002_DecodingIntensityStdDev_577F1:224.358;0002_DecodingIntensityStdDev_577F2:527.392;0002_MeanDecodingIntensity_577F1:669.98;0002_MeanDecodingIntensity_577F2:1020.11;0002AEB:-;0002DecodingIntensityStdDev:333.214;0002DecodingIntensityStdDev_488:333.214;0002DecodingIntensityStdDev_647:4.698;0002DecodingIntensityStdDev_700:4.541;0002DecodingIntensityStdDev_750:5.551;0002F_on:0.8216;0002FillPercent:012.66;0002KineticInconsistentLower:0;0002KineticInconsistentMetadata:-662.198676523408|2.58;0002MeanDecodingIntensity:1578.94;0002MeanDecodingIntensity_488:1578.94;0002MeanDecodingIntensity_647:34.87;0002MeanDecodingIntensity_700:30.02;0002MeanDecodingIntensity_750:34.51;0002ReflectiveIntensity:13335.41;0002ReflectiveIntensityStdDev:567.362;0002SealTimeEstimate:17.2;0021_DecodingIntensityStdDev_577F1:34.747;0021_DecodingIntensityStdDev_577F2:70.549;0021_MeanDecodingIntensity_577F1:424.70;0021_MeanDecodingIntensity_577F2:435.35;0021AEB:00.0289;0021DecodingIntensityStdDev:79.817;0021DecodingIntensityStdDev_488:19.403;0021DecodingIntensityStdDev_647:79.817;0021DecodingIntensityStdDev_700:9.277;0021DecodingIntensityStdDev_750:5.701;0021F_on:0.0285;0021FillPercent:007.93;0021KineticInconsistentLower:0;0021KineticInconsistentMetadata:-645.632444083476|2.58;0021MeanDecodingIntensity:426.94;0021MeanDecodingIntensity_488:135.51;0021MeanDecodingIntensity_647:426.94;0021MeanDecodingIntensity_700:68.58;0021MeanDecodingIntensity_750:34.56;0021ReflectiveIntensity:13100.67;0021ReflectiveIntensityStdDev:473.520;0021SealTimeEstimate:17.2;0201_DecodingIntensityStdDev_577F1:32.299;0201_DecodingIntensityStdDev_577F2:63.282;0201_MeanDecodingIntensity_577F1:422.82;0201_MeanDecodingIntensity_577F2:433.46;0201AEB:00.0308;0201DecodingIntensityStdDev:96.375;0201DecodingIntensityStdDev_488:21.069;0201DecodingIntensityStdDev_647:13.790;0201DecodingIntensityStdDev_700:96.375;0201DecodingIntensityStdDev_750:9.359;0201F_on:0.0303;0201FillPercent:008.84;0201KineticInconsistentLower:0;0201KineticInconsistentMetadata:-636.739040134452|2.57;0201MeanDecodingIntensity:499.98;0201MeanDecodingIntensity_488:136.83;0201MeanDecodingIntensity_647:97.63;0201MeanDecodingIntensity_700:499.98;0201MeanDecodingIntensity_750:63.83;0201ReflectiveIntensity:13119.36;0201ReflectiveIntensityStdDev:477.931;0201SealTimeEstimate:17.3;2001_DecodingIntensityStdDev_577F1:33.913;2001_DecodingIntensityStdDev_577F2:62.785;2001_MeanDecodingIntensity_577F1:453.56;2001_MeanDecodingIntensity_577F2:463.90;2001AEB:00.0289;2001DecodingIntensityStdDev:194.057;2001DecodingIntensityStdDev_488:21.237;2001DecodingIntensityStdDev_647:5.034;2001DecodingIntensityStdDev_700:5.135;2001DecodingIntensityStdDev_750:194.057;2001F_on:0.0285;2001FillPercent:008.67;2001KineticInconsistentLower:0;2001KineticInconsistentMetadata:-673.568591214483|2.55;2001MeanDecodingIntensity:945.56;2001MeanDecodingIntensity_488:136.98;2001MeanDecodingIntensity_647:37.70;2001MeanDecodingIntensity_700:33.86;2001MeanDecodingIntensity_750:945.56;2001ReflectiveIntensity:13127.48;2001ReflectiveIntensityStdDev:493.881;2001SealTimeEstimate:17.6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10.76;Empties488F1MeanIntensity:68.87;Empties577F1IntensityStdDev:24.51;Empties577F1MeanIntensity:395.00;Empties577F2IntensityStdDev:46.33;Empties577F2MeanIntensity:395.06;Empties647F1IntensityStdDev:4.12;Empties647F1MeanIntensity:31.51;Empties700F1IntensityStdDev:4.05;Empties700F1MeanIntensity:29.23;Empties750F1IntensityStdDev:4.84;Empties750F1MeanIntensity:33.44;EmptiesIGrowth:396.10;EmptiesReflectiveIntensityStdDev:283.32;EmptiesReflectiveMeanIntensity:11883.02;Errors:;F2minusF1Shift:-0.9;FittedF2OverF1Intercept:-532.592235817103;FittedF2OverF1Slope:2.27136161387395;FluorescenceClassification:Normal;Focus_FracImageLost:0.00;FocusScoresAvg:3.54;FocusScoresImageCenter:4.72;FocusScoresMax:4.72;FocusScoresMedian:3.55;FractionImageDebris:0.0844;FractionWellsDebris:0.0981;ImageQualityScoreIfUnpegged:1.00;IndexingWellsMissingFromFov:0;IndexingWellsTotalLostBothVisibleAndMissing:0;IndexingWellsVisibleInFovButRemoved:0;L1DR time (ms):28951;NetBeadFillRate:26.77;NormalizedFillPercentage:038.10;Notes:Xtalk: usable out of spec wv 577 sr 8 dir 5 value 0.036.;NumberDecSaturated:0;NumberEmpties:73634;NumberFlagged_DeadPixels:83.0000;NumberFlagged_Debris:18879.0000;NumberFlagged_MissingNeighbor:2307.0000;NumberFlagged_OutOfBounds:4100.0000;NumberInvalidWells:23116;NumberPositiveEmpties:186;NumberPositives:26021;NumberResSaturated:0;NumberSaturatedWithoutDebris:0;NumberValidUnclassified:50350.00;NumberValidWells:169303;OddlyAggregatedFlag:2;OddlyAggregatedLocations:;OddlyAggregatedWorst:0;OffsetW488:( 0, 0 );OffsetW577:( 0, 0 );OffsetW647:( 0, 0 );OffsetW700:( 0, -1 );OffsetW750:( 0, -1 );ResorufinUnsaturated:1;ResorufinUnsaturatedMutated:1;ResorufinUnsaturatedSuspiciousF1:0;ResorufinUnsaturaterNumberInFit:2560;SaturatedDecodingWells:0;SuspiciousWells:26155;SuspiciousWellsFlagged:1;SuspiciousWellsLowerThreshold:4;Warnings:;WhiteLightChannelMedian:9827;XtalkSubregionsOutOfSpec:0</t>
  </si>
  <si>
    <t>low-1-2-1</t>
  </si>
  <si>
    <t>Plate 1 - Well A3</t>
  </si>
  <si>
    <t>Specimen</t>
  </si>
  <si>
    <t>0002_DecodingIntensityStdDev_577F1:40.269;0002_DecodingIntensityStdDev_577F2:123.672;0002_MeanDecodingIntensity_577F1:422.11;0002_MeanDecodingIntensity_577F2:439.37;0002AEB:00.0618;0002DecodingIntensityStdDev:343.571;0002DecodingIntensityStdDev_488:343.571;0002DecodingIntensityStdDev_647:4.937;0002DecodingIntensityStdDev_700:4.889;0002DecodingIntensityStdDev_750:6.065;0002F_on:0.0599;0002FillPercent:013.30;0002KineticInconsistentLower:0;0002KineticInconsistentMetadata:-1131.25021903705|3.83;0002MeanDecodingIntensity:1550.04;0002MeanDecodingIntensity_488:1550.04;0002MeanDecodingIntensity_647:34.96;0002MeanDecodingIntensity_700:30.23;0002MeanDecodingIntensity_750:34.78;0002ReflectiveIntensity:13312.67;0002ReflectiveIntensityStdDev:605.866;0002SealTimeEstimate:9.5;0021_DecodingIntensityStdDev_577F1:41.560;0021_DecodingIntensityStdDev_577F2:137.450;0021_MeanDecodingIntensity_577F1:418.73;0021_MeanDecodingIntensity_577F2:441.99;0021AEB:00.0787;0021DecodingIntensityStdDev:81.645;0021DecodingIntensityStdDev_488:22.335;0021DecodingIntensityStdDev_647:81.645;0021DecodingIntensityStdDev_700:9.779;0021DecodingIntensityStdDev_750:6.300;0021F_on:0.0756;0021FillPercent:008.15;0021KineticInconsistentLower:0;0021KineticInconsistentMetadata:-1170.92794011443|3.94;0021MeanDecodingIntensity:411.46;0021MeanDecodingIntensity_488:143.25;0021MeanDecodingIntensity_647:411.46;0021MeanDecodingIntensity_700:67.07;0021MeanDecodingIntensity_750:35.01;0021ReflectiveIntensity:13095.86;0021ReflectiveIntensityStdDev:526.993;0021SealTimeEstimate:9.1;0201_DecodingIntensityStdDev_577F1:41.348;0201_DecodingIntensityStdDev_577F2:132.735;0201_MeanDecodingIntensity_577F1:418.27;0201_MeanDecodingIntensity_577F2:441.13;0201AEB:00.0779;0201DecodingIntensityStdDev:117.498;0201DecodingIntensityStdDev_488:27.340;0201DecodingIntensityStdDev_647:18.449;0201DecodingIntensityStdDev_700:117.498;0201DecodingIntensityStdDev_750:11.057;0201F_on:0.0749;0201FillPercent:009.67;0201KineticInconsistentLower:0;0201KineticInconsistentMetadata:-1159.83425895087|3.91;0201MeanDecodingIntensity:481.06;0201MeanDecodingIntensity_488:146.68;0201MeanDecodingIntensity_647:96.89;0201MeanDecodingIntensity_700:481.06;0201MeanDecodingIntensity_750:63.74;0201ReflectiveIntensity:13160.49;0201ReflectiveIntensityStdDev:564.037;0201SealTimeEstimate:9.2;2001_DecodingIntensityStdDev_577F1:42.406;2001_DecodingIntensityStdDev_577F2:130.408;2001_MeanDecodingIntensity_577F1:447.18;2001_MeanDecodingIntensity_577F2:468.54;2001AEB:00.0731;2001DecodingIntensityStdDev:227.521;2001DecodingIntensityStdDev_488:26.274;2001DecodingIntensityStdDev_647:5.563;2001DecodingIntensityStdDev_700:6.029;2001DecodingIntensityStdDev_750:227.521;2001F_on:0.0705;2001FillPercent:009.03;2001KineticInconsistentLower:0;2001KineticInconsistentMetadata:-1235.53155656016|3.91;2001MeanDecodingIntensity:922.46;2001MeanDecodingIntensity_488:146.14;2001MeanDecodingIntensity_647:38.05;2001MeanDecodingIntensity_700:34.35;2001MeanDecodingIntensity_750:922.46;2001ReflectiveIntensity:13156.94;2001ReflectiveIntensityStdDev:568.154;2001SealTimeEstimate:9.2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11.03;Empties488F1MeanIntensity:68.77;Empties577F1IntensityStdDev:19.20;Empties577F1MeanIntensity:385.22;Empties577F2IntensityStdDev:36.59;Empties577F2MeanIntensity:381.70;Empties647F1IntensityStdDev:4.17;Empties647F1MeanIntensity:31.48;Empties700F1IntensityStdDev:4.15;Empties700F1MeanIntensity:29.22;Empties750F1IntensityStdDev:4.93;Empties750F1MeanIntensity:33.46;EmptiesIGrowth:577.30;EmptiesReflectiveIntensityStdDev:367.10;EmptiesReflectiveMeanIntensity:11914.41;Errors:;F2minusF1Shift:1.2;FluorescenceClassification:Normal;Focus_FracImageLost:0.00;FocusScoresAvg:3.76;FocusScoresImageCenter:4.77;FocusScoresMax:5.36;FocusScoresMedian:3.71;FractionImageDebris:0.0975;FractionWellsDebris:0.1104;ImageQualityScoreIfUnpegged:1.00;IndexingWellsMissingFromFov:0;IndexingWellsTotalLostBothVisibleAndMissing:0;IndexingWellsVisibleInFovButRemoved:0;L1DR time (ms):28250;NetBeadFillRate:28.20;NormalizedFillPercentage:040.15;Notes:Xtalk: usable out of spec wv 577 sr 4 dir 5 value 0.038. | Xtalk: usable out of spec wv 577 sr 8 dir 5 value 0.046. | Xtalk: usable out of spec wv 577 sr 9 dir 5 value 0.036.;NumberDecSaturated:0;NumberEmpties:70076;NumberFlagged_DeadPixels:72.0000;NumberFlagged_Debris:21232.0000;NumberFlagged_MissingNeighbor:2645.0000;NumberFlagged_NeighborSaturated:06.0000;NumberFlagged_OddlyRecurrentClassification:134.0000;NumberFlagged_OutOfBounds:4168.0000;NumberFlagged_SaturatedPixelResorufinTwo:01.0000;NumberInvalidWells:25653;NumberPositiveEmpties:42;NumberPositives:7187;NumberResSaturated:1;NumberSaturatedWithoutDebris:1;NumberValidUnclassified:49621.00;NumberValidWells:166715;OddlyAggregatedFlag:2;OddlyAggregatedLocations:;OddlyAggregatedWorst:0;OffsetW488:( 1, 0 );OffsetW577:( 0, 0 );OffsetW647:( 0, 0 );OffsetW700:( 0, -1 );OffsetW750:( 1, -1 );ResorufinUnsaturated:0;ResorufinUnsaturatedMutated:0;ResorufinUnsaturaterNumberInFit:35;SaturatedDecodingWells:0;SuspiciousWells:25003;SuspiciousWellsFlagged:1;SuspiciousWellsLowerThreshold:5;Warnings:;WhiteLightChannelMedian:9775;XtalkSubregionsOutOfSpec:0</t>
  </si>
  <si>
    <t>0002_DecodingIntensityStdDev_577F1:60.806;0002_DecodingIntensityStdDev_577F2:133.326;0002_MeanDecodingIntensity_577F1:420.52;0002_MeanDecodingIntensity_577F2:437.79;0002AEB:00.0622;0002DecodingIntensityStdDev:328.124;0002DecodingIntensityStdDev_488:328.124;0002DecodingIntensityStdDev_647:4.714;0002DecodingIntensityStdDev_700:4.576;0002DecodingIntensityStdDev_750:5.679;0002F_on:0.0603;0002FillPercent:012.35;0002KineticInconsistentLower:0;0002KineticInconsistentMetadata:-614.86070574918|2.53;0002MeanDecodingIntensity:1528.35;0002MeanDecodingIntensity_488:1528.35;0002MeanDecodingIntensity_647:34.58;0002MeanDecodingIntensity_700:29.84;0002MeanDecodingIntensity_750:34.37;0002ReflectiveIntensity:13223.58;0002ReflectiveIntensityStdDev:582.263;0002SealTimeEstimate:17.8;0021_DecodingIntensityStdDev_577F1:82.229;0021_DecodingIntensityStdDev_577F2:186.604;0021_MeanDecodingIntensity_577F1:420.97;0021_MeanDecodingIntensity_577F2:446.01;0021AEB:00.0821;0021DecodingIntensityStdDev:78.708;0021DecodingIntensityStdDev_488:20.676;0021DecodingIntensityStdDev_647:78.708;0021DecodingIntensityStdDev_700:9.495;0021DecodingIntensityStdDev_750:5.927;0021F_on:0.0788;0021FillPercent:007.23;0021KineticInconsistentLower:0;0021KineticInconsistentMetadata:-609.706868668739|2.54;0021MeanDecodingIntensity:411.64;0021MeanDecodingIntensity_488:137.67;0021MeanDecodingIntensity_647:411.64;0021MeanDecodingIntensity_700:67.04;0021MeanDecodingIntensity_750:34.34;0021ReflectiveIntensity:12995.80;0021ReflectiveIntensityStdDev:504.224;0021SealTimeEstimate:17.7;0201_DecodingIntensityStdDev_577F1:70.408;0201_DecodingIntensityStdDev_577F2:159.219;0201_MeanDecodingIntensity_577F1:418.08;0201_MeanDecodingIntensity_577F2:440.59;0201AEB:00.0744;0201DecodingIntensityStdDev:107.065;0201DecodingIntensityStdDev_488:23.701;0201DecodingIntensityStdDev_647:15.299;0201DecodingIntensityStdDev_700:107.065;0201DecodingIntensityStdDev_750:10.343;0201F_on:0.0717;0201FillPercent:008.36;0201KineticInconsistentLower:0;0201KineticInconsistentMetadata:-606.117099561431|2.53;0201MeanDecodingIntensity:482.13;0201MeanDecodingIntensity_488:138.74;0201MeanDecodingIntensity_647:96.09;0201MeanDecodingIntensity_700:482.13;0201MeanDecodingIntensity_750:63.82;0201ReflectiveIntensity:13042.55;0201ReflectiveIntensityStdDev:522.398;0201SealTimeEstimate:17.8;2001_DecodingIntensityStdDev_577F1:75.504;2001_DecodingIntensityStdDev_577F2:169.139;2001_MeanDecodingIntensity_577F1:449.15;2001_MeanDecodingIntensity_577F2:472.83;2001AEB:00.0800;2001DecodingIntensityStdDev:209.343;2001DecodingIntensityStdDev_488:23.110;2001DecodingIntensityStdDev_647:5.298;2001DecodingIntensityStdDev_700:5.437;2001DecodingIntensityStdDev_750:209.343;2001F_on:0.0769;2001FillPercent:007.93;2001KineticInconsistentLower:0;2001KineticInconsistentMetadata:-646.55048980324|2.53;2001MeanDecodingIntensity:929.85;2001MeanDecodingIntensity_488:139.41;2001MeanDecodingIntensity_647:37.77;2001MeanDecodingIntensity_700:33.88;2001MeanDecodingIntensity_750:929.85;2001ReflectiveIntensity:13047.80;2001ReflectiveIntensityStdDev:534.487;2001SealTimeEstimate:17.8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10.22;Empties488F1MeanIntensity:63.25;Empties577F1IntensityStdDev:22.91;Empties577F1MeanIntensity:375.38;Empties577F2IntensityStdDev:35.16;Empties577F2MeanIntensity:373.12;Empties647F1IntensityStdDev:4.09;Empties647F1MeanIntensity:31.24;Empties700F1IntensityStdDev:4.01;Empties700F1MeanIntensity:29.00;Empties750F1IntensityStdDev:4.75;Empties750F1MeanIntensity:33.08;EmptiesIGrowth:558.16;EmptiesReflectiveIntensityStdDev:359.21;EmptiesReflectiveMeanIntensity:11824.93;Errors:;F2minusF1Shift:1.0;FluorescenceClassification:Normal;Focus_FracImageLost:0.00;FocusScoresAvg:3.53;FocusScoresImageCenter:4.53;FocusScoresMax:5.25;FocusScoresMedian:3.53;FractionImageDebris:0.0638;FractionWellsDebris:0.0740;ImageQualityScoreIfUnpegged:1.00;IndexingWellsMissingFromFov:0;IndexingWellsTotalLostBothVisibleAndMissing:0;IndexingWellsVisibleInFovButRemoved:0;L1DR time (ms):35703;NetBeadFillRate:25.21;NormalizedFillPercentage:035.87;Notes:Xtalk: usable out of spec wv 577 sr 4 dir 5 value 0.041. | Xtalk: usable out of spec wv 577 sr 8 dir 5 value 0.048. | Xtalk: usable out of spec wv 577 sr 9 dir 5 value 0.036.;NumberDecSaturated:0;NumberEmpties:77962;NumberFlagged_DeadPixels:80.0000;NumberFlagged_Debris:14224.0000;NumberFlagged_MissingNeighbor:2958.0000;NumberFlagged_NeighborSaturated:16.0000;NumberFlagged_OutOfBounds:4229.0000;NumberFlagged_SaturatedPixelResorufinTwo:03.0000;NumberInvalidWells:19248;NumberPositiveEmpties:54;NumberPositives:6265;NumberResSaturated:3;NumberSaturatedWithoutDebris:1;NumberValidUnclassified:51424.00;NumberValidWells:172999;OddlyAggregatedFlag:2;OddlyAggregatedLocations:;OddlyAggregatedWorst:0;OffsetW488:( 0, 0 );OffsetW577:( 0, 0 );OffsetW647:( 0, 0 );OffsetW700:( 0, 0 );OffsetW750:( 0, -1 );ResorufinUnsaturated:0;ResorufinUnsaturatedMutated:0;ResorufinUnsaturaterNumberInFit:190;SaturatedDecodingWells:1;SuspiciousWells:25874;SuspiciousWellsFlagged:1;SuspiciousWellsLowerThreshold:4;Warnings:;WhiteLightChannelMedian:9691;XtalkSubregionsOutOfSpec:0</t>
  </si>
  <si>
    <t>0002_DecodingIntensityStdDev_577F1:73.725;0002_DecodingIntensityStdDev_577F2:155.176;0002_MeanDecodingIntensity_577F1:422.52;0002_MeanDecodingIntensity_577F2:441.43;0002AEB:00.0643;0002DecodingIntensityStdDev:323.031;0002DecodingIntensityStdDev_488:323.031;0002DecodingIntensityStdDev_647:4.813;0002DecodingIntensityStdDev_700:4.511;0002DecodingIntensityStdDev_750:5.658;0002F_on:0.0622;0002FillPercent:011.69;0002KineticInconsistentLower:0;0002KineticInconsistentMetadata:-555.155894329121|2.39;0002MeanDecodingIntensity:1635.17;0002MeanDecodingIntensity_488:1635.17;0002MeanDecodingIntensity_647:35.36;0002MeanDecodingIntensity_700:30.17;0002MeanDecodingIntensity_750:34.68;0002ReflectiveIntensity:13596.29;0002ReflectiveIntensityStdDev:588.876;0002SealTimeEstimate:19.7;0021_DecodingIntensityStdDev_577F1:79.581;0021_DecodingIntensityStdDev_577F2:171.013;0021_MeanDecodingIntensity_577F1:419.89;0021_MeanDecodingIntensity_577F2:441.77;0021AEB:00.0758;0021DecodingIntensityStdDev:81.242;0021DecodingIntensityStdDev_488:21.197;0021DecodingIntensityStdDev_647:81.242;0021DecodingIntensityStdDev_700:9.659;0021DecodingIntensityStdDev_750:5.990;0021F_on:0.0730;0021FillPercent:006.94;0021KineticInconsistentLower:0;0021KineticInconsistentMetadata:-548.79688353125|2.4;0021MeanDecodingIntensity:448.73;0021MeanDecodingIntensity_488:149.18;0021MeanDecodingIntensity_647:448.73;0021MeanDecodingIntensity_700:71.95;0021MeanDecodingIntensity_750:34.85;0021ReflectiveIntensity:13369.26;0021ReflectiveIntensityStdDev:544.983;0021SealTimeEstimate:19.5;0201_DecodingIntensityStdDev_577F1:80.233;0201_DecodingIntensityStdDev_577F2:171.046;0201_MeanDecodingIntensity_577F1:418.98;0201_MeanDecodingIntensity_577F2:441.80;0201AEB:00.0742;0201DecodingIntensityStdDev:104.113;0201DecodingIntensityStdDev_488:24.108;0201DecodingIntensityStdDev_647:14.868;0201DecodingIntensityStdDev_700:104.113;0201DecodingIntensityStdDev_750:10.099;0201F_on:0.0715;0201FillPercent:008.04;0201KineticInconsistentLower:0;0201KineticInconsistentMetadata:-545.780958609375|2.4;0201MeanDecodingIntensity:531.52;0201MeanDecodingIntensity_488:150.60;0201MeanDecodingIntensity_647:101.02;0201MeanDecodingIntensity_700:531.52;0201MeanDecodingIntensity_750:66.28;0201ReflectiveIntensity:13404.25;0201ReflectiveIntensityStdDev:556.410;0201SealTimeEstimate:19.5;2001_DecodingIntensityStdDev_577F1:78.628;2001_DecodingIntensityStdDev_577F2:167.510;2001_MeanDecodingIntensity_577F1:453.30;2001_MeanDecodingIntensity_577F2:476.13;2001AEB:00.0789;2001DecodingIntensityStdDev:219.992;2001DecodingIntensityStdDev_488:23.190;2001DecodingIntensityStdDev_647:5.285;2001DecodingIntensityStdDev_700:5.251;2001DecodingIntensityStdDev_750:219.992;2001F_on:0.0759;2001FillPercent:007.45;2001KineticInconsistentLower:0;2001KineticInconsistentMetadata:-590.412096916711|2.4;2001MeanDecodingIntensity:1046.45;2001MeanDecodingIntensity_488:150.31;2001MeanDecodingIntensity_647:38.74;2001MeanDecodingIntensity_700:34.65;2001MeanDecodingIntensity_750:1046.45;2001ReflectiveIntensity:13395.18;2001ReflectiveIntensityStdDev:559.970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10.89;Empties488F1MeanIntensity:67.30;Empties577F1IntensityStdDev:28.66;Empties577F1MeanIntensity:371.74;Empties577F2IntensityStdDev:39.02;Empties577F2MeanIntensity:369.55;Empties647F1IntensityStdDev:4.19;Empties647F1MeanIntensity:31.66;Empties700F1IntensityStdDev:4.03;Empties700F1MeanIntensity:29.27;Empties750F1IntensityStdDev:4.88;Empties750F1MeanIntensity:33.49;EmptiesIGrowth:553.95;EmptiesReflectiveIntensityStdDev:370.94;EmptiesReflectiveMeanIntensity:12105.52;Errors:;F2minusF1Shift:1.2;FittedF2OverF1Intercept:-544.412081954652;FittedF2OverF1Slope:2.1797993094187;FluorescenceClassification:Normal;Focus_FracImageLost:0.00;FocusScoresAvg:3.61;FocusScoresImageCenter:4.51;FocusScoresMax:5.35;FocusScoresMedian:3.61;FractionImageDebris:0.0558;FractionWellsDebris:0.0637;ImageQualityScoreIfUnpegged:1.00;IndexingWellsMissingFromFov:0;IndexingWellsTotalLostBothVisibleAndMissing:0;IndexingWellsVisibleInFovButRemoved:0;L1DR time (ms):28857;NetBeadFillRate:23.98;NormalizedFillPercentage:034.12;Notes:Xtalk: usable out of spec wv 577 sr 4 dir 5 value 0.038. | Xtalk: usable out of spec wv 577 sr 8 dir 5 value 0.043. | Xtalk: usable out of spec wv 577 sr 9 dir 5 value 0.043.;NumberDecSaturated:0;NumberEmpties:81275;NumberFlagged_DeadPixels:75.0000;NumberFlagged_Debris:12259.0000;NumberFlagged_MissingNeighbor:2661.0000;NumberFlagged_NeighborSaturated:12.0000;NumberFlagged_OutOfBounds:4186.0000;NumberFlagged_SaturatedPixelResorufinTwo:02.0000;NumberFlagged_SaturationRemoverSuspiciousF1:02.0000;NumberInvalidWells:16927;NumberPositiveEmpties:47;NumberPositives:5630;NumberResSaturated:2;NumberSaturatedWithoutDebris:2;NumberValidUnclassified:52141.00;NumberValidWells:175511;OddlyAggregatedFlag:2;OddlyAggregatedLocations:;OddlyAggregatedWorst:0;OffsetW488:( 1, 0 );OffsetW577:( 0, 0 );OffsetW647:( 0, 0 );OffsetW700:( 0, -1 );OffsetW750:( 1, -1 );ResorufinUnsaturated:1;ResorufinUnsaturatedMutated:1;ResorufinUnsaturatedSuspiciousF1:2;ResorufinUnsaturaterNumberInFit:240;SaturatedDecodingWells:0;SuspiciousWells:23160;SuspiciousWellsFlagged:1;SuspiciousWellsLowerThreshold:5;Warnings:;WhiteLightChannelMedian:9898;XtalkSubregionsOutOfSpec:0</t>
  </si>
  <si>
    <t>low-1-2-2</t>
  </si>
  <si>
    <t>Plate 1 - Well B3</t>
  </si>
  <si>
    <t>0002_DecodingIntensityStdDev_577F1:81.624;0002_DecodingIntensityStdDev_577F2:172.200;0002_MeanDecodingIntensity_577F1:428.26;0002_MeanDecodingIntensity_577F2:451.13;0002AEB:00.0790;0002DecodingIntensityStdDev:346.491;0002DecodingIntensityStdDev_488:346.491;0002DecodingIntensityStdDev_647:4.825;0002DecodingIntensityStdDev_700:4.556;0002DecodingIntensityStdDev_750:5.686;0002F_on:0.0760;0002FillPercent:012.52;0002KineticInconsistentLower:0;0002KineticInconsistentMetadata:-546.474451586169|2.38;0002MeanDecodingIntensity:1714.52;0002MeanDecodingIntensity_488:1714.52;0002MeanDecodingIntensity_647:35.40;0002MeanDecodingIntensity_700:30.15;0002MeanDecodingIntensity_750:34.76;0002ReflectiveIntensity:13581.08;0002ReflectiveIntensityStdDev:603.897;0002SealTimeEstimate:19.8;0021_DecodingIntensityStdDev_577F1:93.084;0021_DecodingIntensityStdDev_577F2:200.898;0021_MeanDecodingIntensity_577F1:428.86;0021_MeanDecodingIntensity_577F2:459.56;0021AEB:00.1061;0021DecodingIntensityStdDev:86.447;0021DecodingIntensityStdDev_488:21.755;0021DecodingIntensityStdDev_647:86.447;0021DecodingIntensityStdDev_700:9.988;0021DecodingIntensityStdDev_750:5.976;0021F_on:0.1007;0021FillPercent:007.11;0021KineticInconsistentLower:0;0021KineticInconsistentMetadata:-537.497756237781|2.38;0021MeanDecodingIntensity:451.89;0021MeanDecodingIntensity_488:148.76;0021MeanDecodingIntensity_647:451.89;0021MeanDecodingIntensity_700:71.87;0021MeanDecodingIntensity_750:34.84;0021ReflectiveIntensity:13339.66;0021ReflectiveIntensityStdDev:540.292;0021SealTimeEstimate:19.8;0201_DecodingIntensityStdDev_577F1:86.785;0201_DecodingIntensityStdDev_577F2:187.632;0201_MeanDecodingIntensity_577F1:427.26;0201_MeanDecodingIntensity_577F2:456.44;0201AEB:00.1022;0201DecodingIntensityStdDev:122.949;0201DecodingIntensityStdDev_488:25.474;0201DecodingIntensityStdDev_647:18.328;0201DecodingIntensityStdDev_700:122.949;0201DecodingIntensityStdDev_750:10.932;0201F_on:0.0972;0201FillPercent:008.42;0201KineticInconsistentLower:0;0201KineticInconsistentMetadata:-572.189793836447|2.44;0201MeanDecodingIntensity:537.42;0201MeanDecodingIntensity_488:150.43;0201MeanDecodingIntensity_647:101.63;0201MeanDecodingIntensity_700:537.42;0201MeanDecodingIntensity_750:65.99;0201ReflectiveIntensity:13414.01;0201ReflectiveIntensityStdDev:571.561;0201SealTimeEstimate:19.0;2001_DecodingIntensityStdDev_577F1:97.296;2001_DecodingIntensityStdDev_577F2:208.018;2001_MeanDecodingIntensity_577F1:461.62;2001_MeanDecodingIntensity_577F2:494.09;2001AEB:00.1112;2001DecodingIntensityStdDev:235.573;2001DecodingIntensityStdDev_488:24.625;2001DecodingIntensityStdDev_647:5.538;2001DecodingIntensityStdDev_700:5.391;2001DecodingIntensityStdDev_750:235.573;2001F_on:0.1053;2001FillPercent:008.06;2001KineticInconsistentLower:0;2001KineticInconsistentMetadata:-590.11904833711|2.4;2001MeanDecodingIntensity:1006.30;2001MeanDecodingIntensity_488:150.51;2001MeanDecodingIntensity_647:38.90;2001MeanDecodingIntensity_700:34.52;2001MeanDecodingIntensity_750:1006.30;2001ReflectiveIntensity:13397.80;2001ReflectiveIntensityStdDev:570.364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11.06;Empties488F1MeanIntensity:66.44;Empties577F1IntensityStdDev:32.98;Empties577F1MeanIntensity:369.81;Empties577F2IntensityStdDev:42.10;Empties577F2MeanIntensity:368.12;Empties647F1IntensityStdDev:4.15;Empties647F1MeanIntensity:31.60;Empties700F1IntensityStdDev:3.96;Empties700F1MeanIntensity:29.21;Empties750F1IntensityStdDev:4.76;Empties750F1MeanIntensity:33.41;EmptiesIGrowth:550.52;EmptiesReflectiveIntensityStdDev:348.87;EmptiesReflectiveMeanIntensity:12023.06;Errors:;F2minusF1Shift:-0.3;FittedF2OverF1Intercept:-458.591401462963;FittedF2OverF1Slope:2.09686257740093;FluorescenceClassification:Normal;Focus_FracImageLost:0.00;FocusScoresAvg:3.54;FocusScoresImageCenter:4.19;FocusScoresMax:4.79;FocusScoresMedian:3.55;FractionImageDebris:0.0391;FractionWellsDebris:0.0470;ImageQualityScoreIfUnpegged:1.00;IndexingWellsMissingFromFov:0;IndexingWellsTotalLostBothVisibleAndMissing:0;IndexingWellsVisibleInFovButRemoved:0;L1DR time (ms):30051;NetBeadFillRate:25.39;NormalizedFillPercentage:036.12;Notes:Xtalk: usable out of spec wv 577 sr 4 dir 5 value 0.036. | Xtalk: usable out of spec wv 577 sr 8 dir 5 value 0.041. | Xtalk: usable out of spec wv 577 sr 9 dir 5 value 0.036.;NumberDecSaturated:2;NumberEmpties:79923;NumberFlagged_DeadPixels:69.0000;NumberFlagged_Debris:9038.0000;NumberFlagged_MissingNeighbor:3281.0000;NumberFlagged_NeighborSaturated:16.0000;NumberFlagged_OutOfBounds:4158.0000;NumberFlagged_SaturatedPixelDecodingFour:02.0000;NumberFlagged_SaturatedPixelResorufinTwo:01.0000;NumberFlagged_SaturationRemoverSuspiciousF1:01.0000;NumberInvalidWells:14431;NumberPositiveEmpties:60;NumberPositives:8187;NumberResSaturated:1;NumberSaturatedWithoutDebris:3;NumberValidUnclassified:52889.00;NumberValidWells:177999;OddlyAggregatedFlag:2;OddlyAggregatedLocations:;OddlyAggregatedWorst:0;OffsetW488:( 1, -1 );OffsetW577:( 0, 0 );OffsetW647:( 0, 0 );OffsetW700:( 0, -1 );OffsetW750:( 0, -1 );ResorufinUnsaturated:1;ResorufinUnsaturatedMutated:1;ResorufinUnsaturatedSuspiciousF1:1;ResorufinUnsaturaterNumberInFit:391;SaturatedDecodingWells:2;SuspiciousWells:25490;SuspiciousWellsFlagged:1;SuspiciousWellsLowerThreshold:5;Warnings:;WhiteLightChannelMedian:9925;XtalkSubregionsOutOfSpec:0</t>
  </si>
  <si>
    <t>0002_DecodingIntensityStdDev_577F1:89.497;0002_DecodingIntensityStdDev_577F2:190.649;0002_MeanDecodingIntensity_577F1:423.30;0002_MeanDecodingIntensity_577F2:450.10;0002AEB:00.0910;0002DecodingIntensityStdDev:349.945;0002DecodingIntensityStdDev_488:349.945;0002DecodingIntensityStdDev_647:4.969;0002DecodingIntensityStdDev_700:4.634;0002DecodingIntensityStdDev_750:5.702;0002F_on:0.0870;0002FillPercent:010.73;0002KineticInconsistentLower:0;0002KineticInconsistentMetadata:-541.143567689649|2.4;0002MeanDecodingIntensity:1678.04;0002MeanDecodingIntensity_488:1678.04;0002MeanDecodingIntensity_647:35.49;0002MeanDecodingIntensity_700:30.22;0002MeanDecodingIntensity_750:34.78;0002ReflectiveIntensity:13770.94;0002ReflectiveIntensityStdDev:599.466;0002SealTimeEstimate:19.5;0021_DecodingIntensityStdDev_577F1:118.130;0021_DecodingIntensityStdDev_577F2:253.632;0021_MeanDecodingIntensity_577F1:422.91;0021_MeanDecodingIntensity_577F2:456.05;0021AEB:00.1099;0021DecodingIntensityStdDev:86.217;0021DecodingIntensityStdDev_488:23.677;0021DecodingIntensityStdDev_647:86.217;0021DecodingIntensityStdDev_700:10.049;0021DecodingIntensityStdDev_750:5.919;0021F_on:0.1040;0021FillPercent:006.08;0021KineticInconsistentLower:0;0021KineticInconsistentMetadata:-550.027482625595|2.43;0021MeanDecodingIntensity:446.11;0021MeanDecodingIntensity_488:148.90;0021MeanDecodingIntensity_647:446.11;0021MeanDecodingIntensity_700:71.84;0021MeanDecodingIntensity_750:34.81;0021ReflectiveIntensity:13553.54;0021ReflectiveIntensityStdDev:548.541;0021SealTimeEstimate:19.1;0201_DecodingIntensityStdDev_577F1:96.558;0201_DecodingIntensityStdDev_577F2:207.338;0201_MeanDecodingIntensity_577F1:421.02;0201_MeanDecodingIntensity_577F2:452.09;0201AEB:00.1078;0201DecodingIntensityStdDev:120.567;0201DecodingIntensityStdDev_488:27.518;0201DecodingIntensityStdDev_647:20.396;0201DecodingIntensityStdDev_700:120.567;0201DecodingIntensityStdDev_750:11.618;0201F_on:0.1022;0201FillPercent:007.16;0201KineticInconsistentLower:0;0201KineticInconsistentMetadata:-533.704233458076|2.41;0201MeanDecodingIntensity:531.40;0201MeanDecodingIntensity_488:150.54;0201MeanDecodingIntensity_647:102.87;0201MeanDecodingIntensity_700:531.40;0201MeanDecodingIntensity_750:67.32;0201ReflectiveIntensity:13590.22;0201ReflectiveIntensityStdDev:572.849;0201SealTimeEstimate:19.4;2001_DecodingIntensityStdDev_577F1:107.855;2001_DecodingIntensityStdDev_577F2:232.122;2001_MeanDecodingIntensity_577F1:455.29;2001_MeanDecodingIntensity_577F2:489.70;2001AEB:00.1122;2001DecodingIntensityStdDev:228.853;2001DecodingIntensityStdDev_488:26.555;2001DecodingIntensityStdDev_647:5.506;2001DecodingIntensityStdDev_700:5.719;2001DecodingIntensityStdDev_750:228.853;2001F_on:0.1061;2001FillPercent:006.63;2001KineticInconsistentLower:0;2001KineticInconsistentMetadata:-571.098747520563|2.39;2001MeanDecodingIntensity:1015.43;2001MeanDecodingIntensity_488:149.92;2001MeanDecodingIntensity_647:38.97;2001MeanDecodingIntensity_700:34.75;2001MeanDecodingIntensity_750:1015.43;2001ReflectiveIntensity:13578.00;2001ReflectiveIntensityStdDev:573.216;2001SealTimeEstimate:19.7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11.73;Empties488F1MeanIntensity:67.33;Empties577F1IntensityStdDev:36.66;Empties577F1MeanIntensity:357.24;Empties577F2IntensityStdDev:47.17;Empties577F2MeanIntensity:355.79;Empties647F1IntensityStdDev:4.37;Empties647F1MeanIntensity:31.95;Empties700F1IntensityStdDev:4.22;Empties700F1MeanIntensity:29.49;Empties750F1IntensityStdDev:5.01;Empties750F1MeanIntensity:33.68;EmptiesIGrowth:623.28;EmptiesReflectiveIntensityStdDev:412.94;EmptiesReflectiveMeanIntensity:12248.62;Errors:;F2minusF1Shift:0.4;FittedF2OverF1Intercept:-551.428747017412;FittedF2OverF1Slope:2.17222321527883;FluorescenceClassification:Normal;Focus_FracImageLost:0.00;FocusScoresAvg:3.56;FocusScoresImageCenter:4.56;FocusScoresMax:5.48;FocusScoresMedian:3.43;FractionImageDebris:0.0490;FractionWellsDebris:0.0580;ImageQualityScoreIfUnpegged:1.00;IndexingWellsMissingFromFov:0;IndexingWellsTotalLostBothVisibleAndMissing:0;IndexingWellsVisibleInFovButRemoved:0;L1DR time (ms):28810;NetBeadFillRate:21.51;NormalizedFillPercentage:030.60;Notes:Xtalk: usable out of spec wv 577 sr 4 dir 5 value 0.041. | Xtalk: usable out of spec wv 577 sr 8 dir 5 value 0.048. | Xtalk: usable out of spec wv 577 sr 9 dir 4 value 0.046. | Xtalk: usable out of spec wv 488 sr 9 dir 4 value 0.038.;NumberDecSaturated:0;NumberEmpties:85959;NumberFlagged_DeadPixels:77.0000;NumberFlagged_Debris:11168.0000;NumberFlagged_MissingNeighbor:3046.0000;NumberFlagged_NeighborSaturated:12.0000;NumberFlagged_OutOfBounds:4161.0000;NumberFlagged_SaturatedPixelResorufinTwo:02.0000;NumberFlagged_SaturationRemoverSuspiciousF1:02.0000;NumberInvalidWells:16268;NumberPositiveEmpties:57;NumberPositives:7360;NumberResSaturated:2;NumberSaturatedWithoutDebris:1;NumberValidUnclassified:52364.00;NumberValidWells:176228;OddlyAggregatedFlag:2;OddlyAggregatedLocations:;OddlyAggregatedWorst:0;OffsetW488:( 0, -1 );OffsetW577:( 0, 0 );OffsetW647:( 0, 0 );OffsetW700:( 0, -1 );OffsetW750:( 0, -1 );ResorufinUnsaturated:1;ResorufinUnsaturatedMutated:1;ResorufinUnsaturatedSuspiciousF1:2;ResorufinUnsaturaterNumberInFit:373;SaturatedDecodingWells:0;SuspiciousWells:27349;SuspiciousWellsFlagged:1;SuspiciousWellsLowerThreshold:5;Warnings:;WhiteLightChannelMedian:10008;XtalkSubregionsOutOfSpec:0</t>
  </si>
  <si>
    <t>0002_DecodingIntensityStdDev_577F1:83.940;0002_DecodingIntensityStdDev_577F2:182.513;0002_MeanDecodingIntensity_577F1:423.60;0002_MeanDecodingIntensity_577F2:447.91;0002AEB:00.0791;0002DecodingIntensityStdDev:336.328;0002DecodingIntensityStdDev_488:336.328;0002DecodingIntensityStdDev_647:4.966;0002DecodingIntensityStdDev_700:4.785;0002DecodingIntensityStdDev_750:6.029;0002F_on:0.0761;0002FillPercent:014.11;0002KineticInconsistentLower:0;0002KineticInconsistentMetadata:-551.841216478062|2.43;0002MeanDecodingIntensity:1660.23;0002MeanDecodingIntensity_488:1660.23;0002MeanDecodingIntensity_647:35.39;0002MeanDecodingIntensity_700:30.36;0002MeanDecodingIntensity_750:35.14;0002ReflectiveIntensity:13450.64;0002ReflectiveIntensityStdDev:641.357;0002SealTimeEstimate:19.1;0021_DecodingIntensityStdDev_577F1:97.632;0021_DecodingIntensityStdDev_577F2:217.643;0021_MeanDecodingIntensity_577F1:423.40;0021_MeanDecodingIntensity_577F2:454.14;0021AEB:00.0994;0021DecodingIntensityStdDev:86.106;0021DecodingIntensityStdDev_488:24.363;0021DecodingIntensityStdDev_647:86.106;0021DecodingIntensityStdDev_700:10.215;0021DecodingIntensityStdDev_750:6.534;0021F_on:0.0946;0021FillPercent:007.92;0021KineticInconsistentLower:0;0021KineticInconsistentMetadata:-571.396152541519|2.48;0021MeanDecodingIntensity:440.61;0021MeanDecodingIntensity_488:150.93;0021MeanDecodingIntensity_647:440.61;0021MeanDecodingIntensity_700:70.93;0021MeanDecodingIntensity_750:35.50;0021ReflectiveIntensity:13224.31;0021ReflectiveIntensityStdDev:582.604;0021SealTimeEstimate:18.4;0201_DecodingIntensityStdDev_577F1:86.124;0201_DecodingIntensityStdDev_577F2:189.610;0201_MeanDecodingIntensity_577F1:424.08;0201_MeanDecodingIntensity_577F2:455.11;0201AEB:00.1040;0201DecodingIntensityStdDev:131.318;0201DecodingIntensityStdDev_488:30.123;0201DecodingIntensityStdDev_647:34.352;0201DecodingIntensityStdDev_700:131.318;0201DecodingIntensityStdDev_750:12.910;0201F_on:0.0988;0201FillPercent:009.57;0201KineticInconsistentLower:0;0201KineticInconsistentMetadata:-565.970288314051|2.46;0201MeanDecodingIntensity:526.23;0201MeanDecodingIntensity_488:153.66;0201MeanDecodingIntensity_647:105.88;0201MeanDecodingIntensity_700:526.23;0201MeanDecodingIntensity_750:66.80;0201ReflectiveIntensity:13317.92;0201ReflectiveIntensityStdDev:637.570;0201SealTimeEstimate:18.7;2001_DecodingIntensityStdDev_577F1:83.986;2001_DecodingIntensityStdDev_577F2:183.544;2001_MeanDecodingIntensity_577F1:454.09;2001_MeanDecodingIntensity_577F2:484.87;2001AEB:00.1070;2001DecodingIntensityStdDev:246.271;2001DecodingIntensityStdDev_488:28.540;2001DecodingIntensityStdDev_647:6.054;2001DecodingIntensityStdDev_700:6.170;2001DecodingIntensityStdDev_750:246.271;2001F_on:0.1015;2001FillPercent:008.94;2001KineticInconsistentLower:0;2001KineticInconsistentMetadata:-619.700690047396|2.49;2001MeanDecodingIntensity:981.16;2001MeanDecodingIntensity_488:152.98;2001MeanDecodingIntensity_647:38.94;2001MeanDecodingIntensity_700:34.85;2001MeanDecodingIntensity_750:981.16;2001ReflectiveIntensity:13278.95;2001ReflectiveIntensityStdDev:618.474;2001SealTimeEstimate:18.3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12.20;Empties488F1MeanIntensity:69.67;Empties577F1IntensityStdDev:33.81;Empties577F1MeanIntensity:364.70;Empties577F2IntensityStdDev:44.19;Empties577F2MeanIntensity:363.85;Empties647F1IntensityStdDev:4.37;Empties647F1MeanIntensity:31.70;Empties700F1IntensityStdDev:4.26;Empties700F1MeanIntensity:29.45;Empties750F1IntensityStdDev:5.13;Empties750F1MeanIntensity:33.78;EmptiesIGrowth:512.26;EmptiesReflectiveIntensityStdDev:397.78;EmptiesReflectiveMeanIntensity:11906.75;Errors:;F2minusF1Shift:-1.5;FittedF2OverF1Intercept:-578.042087128115;FittedF2OverF1Slope:2.25068674772164;FluorescenceClassification:Normal;Focus_FracImageLost:0.00;FocusScoresAvg:3.79;FocusScoresImageCenter:4.19;FocusScoresMax:5.09;FocusScoresMedian:3.72;FractionImageDebris:0.0634;FractionWellsDebris:0.0719;ImageQualityScoreIfUnpegged:1.00;IndexingWellsMissingFromFov:0;IndexingWellsTotalLostBothVisibleAndMissing:0;IndexingWellsVisibleInFovButRemoved:0;L1DR time (ms):28413;NetBeadFillRate:28.46;NormalizedFillPercentage:040.54;Notes:Xtalk: usable out of spec wv 577 sr 8 dir 5 value 0.036. | Xtalk: usable out of spec wv 577 sr 9 dir 4 value 0.041. | Xtalk: usable out of spec wv 577 sr 10 dir 4 value 0.036.;NumberDecSaturated:0;NumberEmpties:72430;NumberFlagged_DeadPixels:73.0000;NumberFlagged_Debris:13847.0000;NumberFlagged_MissingNeighbor:3392.0000;NumberFlagged_NeighborSaturated:06.0000;NumberFlagged_OutOfBounds:4224.0000;NumberFlagged_SaturatedPixelResorufinTwo:01.0000;NumberFlagged_SaturationRemoverSuspiciousF1:01.0000;NumberInvalidWells:19032;NumberPositiveEmpties:61;NumberPositives:9055;NumberResSaturated:1;NumberSaturatedWithoutDebris:1;NumberValidUnclassified:51697.00;NumberValidWells:173514;OddlyAggregatedFlag:2;OddlyAggregatedLocations:;OddlyAggregatedWorst:0;OffsetW488:( 1, -1 );OffsetW577:( 0, 0 );OffsetW647:( 0, 0 );OffsetW700:( 0, -1 );OffsetW750:( 0, -1 );ResorufinUnsaturated:1;ResorufinUnsaturatedMutated:1;ResorufinUnsaturatedSuspiciousF1:1;ResorufinUnsaturaterNumberInFit:350;SaturatedDecodingWells:0;SuspiciousWells:20598;SuspiciousWellsFlagged:1;SuspiciousWellsLowerThreshold:6;Warnings:;WhiteLightChannelMedian:9810;XtalkSubregionsOutOfSpec:0</t>
  </si>
  <si>
    <t>low-1-2-3</t>
  </si>
  <si>
    <t>Plate 1 - Well C3</t>
  </si>
  <si>
    <t>0002_DecodingIntensityStdDev_577F1:50.720;0002_DecodingIntensityStdDev_577F2:115.425;0002_MeanDecodingIntensity_577F1:417.53;0002_MeanDecodingIntensity_577F2:430.94;0002AEB:00.0453;0002DecodingIntensityStdDev:317.552;0002DecodingIntensityStdDev_488:317.552;0002DecodingIntensityStdDev_647:4.634;0002DecodingIntensityStdDev_700:4.553;0002DecodingIntensityStdDev_750:5.492;0002F_on:0.0443;0002FillPercent:011.86;0002KineticInconsistentLower:0;0002KineticInconsistentMetadata:-670.977408271483|2.68;0002MeanDecodingIntensity:1638.01;0002MeanDecodingIntensity_488:1638.01;0002MeanDecodingIntensity_647:34.82;0002MeanDecodingIntensity_700:30.06;0002MeanDecodingIntensity_750:34.37;0002ReflectiveIntensity:13026.41;0002ReflectiveIntensityStdDev:594.755;0002SealTimeEstimate:16.2;0021_DecodingIntensityStdDev_577F1:57.976;0021_DecodingIntensityStdDev_577F2:136.052;0021_MeanDecodingIntensity_577F1:414.68;0021_MeanDecodingIntensity_577F2:431.89;0021AEB:00.0556;0021DecodingIntensityStdDev:77.401;0021DecodingIntensityStdDev_488:19.782;0021DecodingIntensityStdDev_647:77.401;0021DecodingIntensityStdDev_700:9.038;0021DecodingIntensityStdDev_750:5.753;0021F_on:0.0541;0021FillPercent:006.98;0021KineticInconsistentLower:0;0021KineticInconsistentMetadata:-666.407882850396|2.69;0021MeanDecodingIntensity:431.92;0021MeanDecodingIntensity_488:143.25;0021MeanDecodingIntensity_647:431.92;0021MeanDecodingIntensity_700:69.12;0021MeanDecodingIntensity_750:34.49;0021ReflectiveIntensity:12786.29;0021ReflectiveIntensityStdDev:503.267;0021SealTimeEstimate:16.1;0201_DecodingIntensityStdDev_577F1:52.989;0201_DecodingIntensityStdDev_577F2:121.566;0201_MeanDecodingIntensity_577F1:412.41;0201_MeanDecodingIntensity_577F2:427.91;0201AEB:00.0530;0201DecodingIntensityStdDev:98.710;0201DecodingIntensityStdDev_488:22.013;0201DecodingIntensityStdDev_647:14.178;0201DecodingIntensityStdDev_700:98.710;0201DecodingIntensityStdDev_750:9.512;0201F_on:0.0517;0201FillPercent:008.14;0201KineticInconsistentLower:0;0201KineticInconsistentMetadata:-635.135628453584|2.63;0201MeanDecodingIntensity:504.36;0201MeanDecodingIntensity_488:144.14;0201MeanDecodingIntensity_647:98.24;0201MeanDecodingIntensity_700:504.36;0201MeanDecodingIntensity_750:63.91;0201ReflectiveIntensity:12828.32;0201ReflectiveIntensityStdDev:522.206;0201SealTimeEstimate:16.7;2001_DecodingIntensityStdDev_577F1:69.422;2001_DecodingIntensityStdDev_577F2:158.566;2001_MeanDecodingIntensity_577F1:443.74;2001_MeanDecodingIntensity_577F2:460.84;2001AEB:00.0530;2001DecodingIntensityStdDev:203.797;2001DecodingIntensityStdDev_488:21.953;2001DecodingIntensityStdDev_647:5.127;2001DecodingIntensityStdDev_700:5.237;2001DecodingIntensityStdDev_750:203.797;2001F_on:0.0517;2001FillPercent:007.68;2001KineticInconsistentLower:0;2001KineticInconsistentMetadata:-698.289666821241|2.66;2001MeanDecodingIntensity:953.06;2001MeanDecodingIntensity_488:143.94;2001MeanDecodingIntensity_647:37.98;2001MeanDecodingIntensity_700:34.00;2001MeanDecodingIntensity_750:953.06;2001ReflectiveIntensity:12811.61;2001ReflectiveIntensityStdDev:544.060;2001SealTimeEstimate:16.4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10.26;Empties488F1MeanIntensity:67.85;Empties577F1IntensityStdDev:19.07;Empties577F1MeanIntensity:377.06;Empties577F2IntensityStdDev:24.11;Empties577F2MeanIntensity:374.90;Empties647F1IntensityStdDev:4.06;Empties647F1MeanIntensity:31.42;Empties700F1IntensityStdDev:3.96;Empties700F1MeanIntensity:29.22;Empties750F1IntensityStdDev:4.70;Empties750F1MeanIntensity:33.23;EmptiesIGrowth:458.10;EmptiesReflectiveIntensityStdDev:343.84;EmptiesReflectiveMeanIntensity:11571.30;Errors:;F2minusF1Shift:-0.7;FluorescenceClassification:Normal;Focus_FracImageLost:0.00;FocusScoresAvg:3.42;FocusScoresImageCenter:3.89;FocusScoresMax:4.74;FocusScoresMedian:3.31;FractionImageDebris:0.0375;FractionWellsDebris:0.0437;ImageQualityScoreIfUnpegged:1.00;IndexingWellsMissingFromFov:0;IndexingWellsTotalLostBothVisibleAndMissing:0;IndexingWellsVisibleInFovButRemoved:0;L1DR time (ms):29973;NetBeadFillRate:24.36;NormalizedFillPercentage:034.65;Notes:Xtalk: usable out of spec wv 577 sr 8 dir 5 value 0.038. | Xtalk: usable out of spec wv 577 sr 10 dir 4 value 0.036.;NumberDecSaturated:0;NumberEmpties:82701;NumberFlagged_DeadPixels:85.0000;NumberFlagged_Debris:8422.0000;NumberFlagged_MissingNeighbor:2394.0000;NumberFlagged_OutOfBounds:4153.0000;NumberInvalidWells:12792;NumberPositiveEmpties:27;NumberPositives:4078;NumberResSaturated:0;NumberSaturatedWithoutDebris:0;NumberValidUnclassified:53434.00;NumberValidWells:179985;OddlyAggregatedFlag:2;OddlyAggregatedLocations:;OddlyAggregatedWorst:0;OffsetW488:( 1, 0 );OffsetW577:( 0, 0 );OffsetW647:( 0, 0 );OffsetW700:( 0, 0 );OffsetW750:( 0, -1 );ResorufinUnsaturated:0;ResorufinUnsaturatedMutated:0;ResorufinUnsaturaterNumberInFit:65;SaturatedDecodingWells:0;SuspiciousWells:22214;SuspiciousWellsFlagged:1;SuspiciousWellsLowerThreshold:4;Warnings:;WhiteLightChannelMedian:9594;XtalkSubregionsOutOfSpec:0</t>
  </si>
  <si>
    <t>0002_DecodingIntensityStdDev_577F1:57.445;0002_DecodingIntensityStdDev_577F2:121.001;0002_MeanDecodingIntensity_577F1:415.08;0002_MeanDecodingIntensity_577F2:430.49;0002AEB:00.0496;0002DecodingIntensityStdDev:355.364;0002DecodingIntensityStdDev_488:355.364;0002DecodingIntensityStdDev_647:4.990;0002DecodingIntensityStdDev_700:4.929;0002DecodingIntensityStdDev_750:6.268;0002F_on:0.0484;0002FillPercent:013.26;0002KineticInconsistentLower:0;0002KineticInconsistentMetadata:-551.516762447512|2.42;0002MeanDecodingIntensity:1560.53;0002MeanDecodingIntensity_488:1560.53;0002MeanDecodingIntensity_647:35.05;0002MeanDecodingIntensity_700:30.31;0002MeanDecodingIntensity_750:34.97;0002ReflectiveIntensity:13071.98;0002ReflectiveIntensityStdDev:619.621;0002SealTimeEstimate:19.2;0021_DecodingIntensityStdDev_577F1:74.860;0021_DecodingIntensityStdDev_577F2:162.453;0021_MeanDecodingIntensity_577F1:412.73;0021_MeanDecodingIntensity_577F2:431.42;0021AEB:00.0550;0021DecodingIntensityStdDev:83.755;0021DecodingIntensityStdDev_488:23.685;0021DecodingIntensityStdDev_647:83.755;0021DecodingIntensityStdDev_700:10.069;0021DecodingIntensityStdDev_750:6.692;0021F_on:0.0535;0021FillPercent:007.80;0021KineticInconsistentLower:0;0021KineticInconsistentMetadata:-548.110890953428|2.42;0021MeanDecodingIntensity:421.42;0021MeanDecodingIntensity_488:145.70;0021MeanDecodingIntensity_647:421.42;0021MeanDecodingIntensity_700:68.80;0021MeanDecodingIntensity_750:35.40;0021ReflectiveIntensity:12839.44;0021ReflectiveIntensityStdDev:532.660;0021SealTimeEstimate:19.2;0201_DecodingIntensityStdDev_577F1:60.187;0201_DecodingIntensityStdDev_577F2:128.802;0201_MeanDecodingIntensity_577F1:412.38;0201_MeanDecodingIntensity_577F2:430.62;0201AEB:00.0630;0201DecodingIntensityStdDev:129.373;0201DecodingIntensityStdDev_488:31.503;0201DecodingIntensityStdDev_647:29.707;0201DecodingIntensityStdDev_700:129.373;0201DecodingIntensityStdDev_750:12.757;0201F_on:0.0611;0201FillPercent:009.34;0201KineticInconsistentLower:0;0201KineticInconsistentMetadata:-582.206748102654|2.49;0201MeanDecodingIntensity:501.33;0201MeanDecodingIntensity_488:149.73;0201MeanDecodingIntensity_647:101.78;0201MeanDecodingIntensity_700:501.33;0201MeanDecodingIntensity_750:65.77;0201ReflectiveIntensity:12927.88;0201ReflectiveIntensityStdDev:593.825;0201SealTimeEstimate:18.3;2001_DecodingIntensityStdDev_577F1:66.924;2001_DecodingIntensityStdDev_577F2:142.195;2001_MeanDecodingIntensity_577F1:442.81;2001_MeanDecodingIntensity_577F2:461.91;2001AEB:00.0642;2001DecodingIntensityStdDev:243.886;2001DecodingIntensityStdDev_488:31.398;2001DecodingIntensityStdDev_647:6.309;2001DecodingIntensityStdDev_700:6.424;2001DecodingIntensityStdDev_750:243.886;2001F_on:0.0622;2001FillPercent:008.70;2001KineticInconsistentLower:0;2001KineticInconsistentMetadata:-610.69930060026|2.47;2001MeanDecodingIntensity:946.72;2001MeanDecodingIntensity_488:149.29;2001MeanDecodingIntensity_647:38.43;2001MeanDecodingIntensity_700:34.76;2001MeanDecodingIntensity_750:946.72;2001ReflectiveIntensity:12918.33;2001ReflectiveIntensityStdDev:579.956;2001SealTimeEstimate:18.6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12.54;Empties488F1MeanIntensity:71.22;Empties577F1IntensityStdDev:19.98;Empties577F1MeanIntensity:374.20;Empties577F2IntensityStdDev:26.00;Empties577F2MeanIntensity:372.83;Empties647F1IntensityStdDev:4.47;Empties647F1MeanIntensity:31.64;Empties700F1IntensityStdDev:4.43;Empties700F1MeanIntensity:29.46;Empties750F1IntensityStdDev:5.43;Empties750F1MeanIntensity:33.81;EmptiesIGrowth:417.53;EmptiesReflectiveIntensityStdDev:344.73;EmptiesReflectiveMeanIntensity:11610.41;Errors:;F2minusF1Shift:-1.0;FluorescenceClassification:Normal;Focus_FracImageLost:0.00;FocusScoresAvg:3.39;FocusScoresImageCenter:4.16;FocusScoresMax:4.89;FocusScoresMedian:3.33;FractionImageDebris:0.0847;FractionWellsDebris:0.0921;ImageQualityScoreIfUnpegged:1.00;IndexingWellsMissingFromFov:0;IndexingWellsTotalLostBothVisibleAndMissing:0;IndexingWellsVisibleInFovButRemoved:0;L1DR time (ms):28119;NetBeadFillRate:27.44;NormalizedFillPercentage:039.09;Notes:Xtalk: usable out of spec wv 577 sr 8 dir 5 value 0.046.;NumberDecSaturated:1;NumberEmpties:72854;NumberFlagged_DeadPixels:73.0000;NumberFlagged_Debris:17732.0000;NumberFlagged_MissingNeighbor:3062.0000;NumberFlagged_NeighborSaturated:06.0000;NumberFlagged_OutOfBounds:4124.0000;NumberFlagged_SaturatedPixelDecodingFour:01.0000;NumberInvalidWells:22162;NumberPositiveEmpties:32;NumberPositives:5871;NumberResSaturated:0;NumberSaturatedWithoutDebris:1;NumberValidUnclassified:50769.00;NumberValidWells:170372;OddlyAggregatedFlag:2;OddlyAggregatedLocations:;OddlyAggregatedWorst:0;OffsetW488:( 1, 0 );OffsetW577:( 0, 0 );OffsetW647:( 0, 0 );OffsetW700:( 0, 0 );OffsetW750:( 0, 0 );ResorufinUnsaturated:0;ResorufinUnsaturatedMutated:0;ResorufinUnsaturaterNumberInFit:152;SaturatedDecodingWells:1;SuspiciousWells:23382;SuspiciousWellsFlagged:1;SuspiciousWellsLowerThreshold:5;Warnings:;WhiteLightChannelMedian:9744;XtalkSubregionsOutOfSpec:0</t>
  </si>
  <si>
    <t>0002_DecodingIntensityStdDev_577F1:58.262;0002_DecodingIntensityStdDev_577F2:121.949;0002_MeanDecodingIntensity_577F1:421.69;0002_MeanDecodingIntensity_577F2:437.91;0002AEB:00.0529;0002DecodingIntensityStdDev:367.433;0002DecodingIntensityStdDev_488:367.433;0002DecodingIntensityStdDev_647:5.231;0002DecodingIntensityStdDev_700:5.137;0002DecodingIntensityStdDev_750:6.659;0002F_on:0.0515;0002FillPercent:014.22;0002KineticInconsistentLower:0;0002KineticInconsistentMetadata:-550.446138546119|2.41;0002MeanDecodingIntensity:1571.81;0002MeanDecodingIntensity_488:1571.81;0002MeanDecodingIntensity_647:35.27;0002MeanDecodingIntensity_700:30.64;0002MeanDecodingIntensity_750:35.69;0002ReflectiveIntensity:13163.35;0002ReflectiveIntensityStdDev:613.450;0002SealTimeEstimate:19.4;0021_DecodingIntensityStdDev_577F1:64.876;0021_DecodingIntensityStdDev_577F2:140.684;0021_MeanDecodingIntensity_577F1:417.50;0021_MeanDecodingIntensity_577F2:435.69;0021AEB:00.0552;0021DecodingIntensityStdDev:86.345;0021DecodingIntensityStdDev_488:24.879;0021DecodingIntensityStdDev_647:86.345;0021DecodingIntensityStdDev_700:10.512;0021DecodingIntensityStdDev_750:7.209;0021F_on:0.0537;0021FillPercent:008.45;0021KineticInconsistentLower:0;0021KineticInconsistentMetadata:-579.007621342675|2.48;0021MeanDecodingIntensity:416.12;0021MeanDecodingIntensity_488:149.98;0021MeanDecodingIntensity_647:416.12;0021MeanDecodingIntensity_700:69.15;0021MeanDecodingIntensity_750:35.89;0021ReflectiveIntensity:12935.27;0021ReflectiveIntensityStdDev:526.836;0021SealTimeEstimate:18.4;0201_DecodingIntensityStdDev_577F1:65.311;0201_DecodingIntensityStdDev_577F2:139.506;0201_MeanDecodingIntensity_577F1:418.98;0201_MeanDecodingIntensity_577F2:437.41;0201AEB:00.0588;0201DecodingIntensityStdDev:131.815;0201DecodingIntensityStdDev_488:39.464;0201DecodingIntensityStdDev_647:37.207;0201DecodingIntensityStdDev_700:131.815;0201DecodingIntensityStdDev_750:15.210;0201F_on:0.0571;0201FillPercent:010.21;0201KineticInconsistentLower:0;0201KineticInconsistentMetadata:-583.278272430352|2.48;0201MeanDecodingIntensity:501.61;0201MeanDecodingIntensity_488:155.71;0201MeanDecodingIntensity_647:102.39;0201MeanDecodingIntensity_700:501.61;0201MeanDecodingIntensity_750:66.63;0201ReflectiveIntensity:13034.80;0201ReflectiveIntensityStdDev:587.872;0201SealTimeEstimate:18.4;2001_DecodingIntensityStdDev_577F1:61.237;2001_DecodingIntensityStdDev_577F2:127.149;2001_MeanDecodingIntensity_577F1:446.76;2001_MeanDecodingIntensity_577F2:464.09;2001AEB:00.0563;2001DecodingIntensityStdDev:242.256;2001DecodingIntensityStdDev_488:39.838;2001DecodingIntensityStdDev_647:7.160;2001DecodingIntensityStdDev_700:6.946;2001DecodingIntensityStdDev_750:242.256;2001F_on:0.0547;2001FillPercent:009.53;2001KineticInconsistentLower:0;2001KineticInconsistentMetadata:-597.359309790164|2.44;2001MeanDecodingIntensity:946.92;2001MeanDecodingIntensity_488:154.81;2001MeanDecodingIntensity_647:38.74;2001MeanDecodingIntensity_700:35.13;2001MeanDecodingIntensity_750:946.92;2001ReflectiveIntensity:13003.85;2001ReflectiveIntensityStdDev:570.730;2001SealTimeEstimate:19.0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13.44;Empties488F1MeanIntensity:74.84;Empties577F1IntensityStdDev:22.87;Empties577F1MeanIntensity:381.22;Empties577F2IntensityStdDev:32.84;Empties577F2MeanIntensity:380.11;Empties647F1IntensityStdDev:4.63;Empties647F1MeanIntensity:31.83;Empties700F1IntensityStdDev:4.60;Empties700F1MeanIntensity:29.76;Empties750F1IntensityStdDev:5.66;Empties750F1MeanIntensity:34.29;EmptiesIGrowth:535.83;EmptiesReflectiveIntensityStdDev:315.69;EmptiesReflectiveMeanIntensity:11708.80;Errors:;F2minusF1Shift:-1.7;FluorescenceClassification:Normal;Focus_FracImageLost:0.00;FocusScoresAvg:3.47;FocusScoresImageCenter:4.15;FocusScoresMax:4.81;FocusScoresMedian:3.47;FractionImageDebris:0.0540;FractionWellsDebris:0.0612;ImageQualityScoreIfUnpegged:1.00;IndexingWellsMissingFromFov:0;IndexingWellsTotalLostBothVisibleAndMissing:0;IndexingWellsVisibleInFovButRemoved:0;L1DR time (ms):28743;NetBeadFillRate:29.76;NormalizedFillPercentage:042.41;Notes:Xtalk: usable out of spec wv 577 sr 8 dir 5 value 0.043. | Xtalk: usable out of spec wv 577 sr 11 dir 3 value 0.036.;NumberDecSaturated:0;NumberEmpties:71312;NumberFlagged_DeadPixels:75.0000;NumberFlagged_Debris:11794.0000;NumberFlagged_MissingNeighbor:2799.0000;NumberFlagged_NeighborSaturated:12.0000;NumberFlagged_OutOfBounds:4144.0000;NumberFlagged_SaturatedPixelResorufinTwo:02.0000;NumberInvalidWells:16377;NumberPositiveEmpties:44;NumberPositives:5699;NumberResSaturated:2;NumberSaturatedWithoutDebris:2;NumberValidUnclassified:52637.00;NumberValidWells:176468;OddlyAggregatedFlag:2;OddlyAggregatedLocations:;OddlyAggregatedWorst:0;OffsetW488:( 0, 0 );OffsetW577:( 0, 0 );OffsetW647:( 0, 0 );OffsetW700:( 0, 0 );OffsetW750:( 0, 0 );ResorufinUnsaturated:0;ResorufinUnsaturatedMutated:0;ResorufinUnsaturaterNumberInFit:171;SaturatedDecodingWells:0;SuspiciousWells:26149;SuspiciousWellsFlagged:1;SuspiciousWellsLowerThreshold:5;Warnings:;WhiteLightChannelMedian:9823;XtalkSubregionsOutOfSpec:0</t>
  </si>
  <si>
    <t>low-1-2-4</t>
  </si>
  <si>
    <t>Plate 1 - Well D3</t>
  </si>
  <si>
    <t>0002_DecodingIntensityStdDev_577F1:66.643;0002_DecodingIntensityStdDev_577F2:132.905;0002_MeanDecodingIntensity_577F1:490.02;0002_MeanDecodingIntensity_577F2:583.56;0002AEB:-;0002DecodingIntensityStdDev:365.334;0002DecodingIntensityStdDev_488:365.334;0002DecodingIntensityStdDev_647:4.891;0002DecodingIntensityStdDev_700:4.606;0002DecodingIntensityStdDev_750:5.904;0002F_on:0.8285;0002FillPercent:011.67;0002KineticInconsistentLower:0;0002KineticInconsistentMetadata:-428.130838915822|2.11;0002MeanDecodingIntensity:1633.80;0002MeanDecodingIntensity_488:1633.80;0002MeanDecodingIntensity_647:35.10;0002MeanDecodingIntensity_700:30.21;0002MeanDecodingIntensity_750:34.89;0002ReflectiveIntensity:13050.57;0002ReflectiveIntensityStdDev:608.556;0002SealTimeEstimate:24.9;0021_DecodingIntensityStdDev_577F1:67.804;0021_DecodingIntensityStdDev_577F2:139.971;0021_MeanDecodingIntensity_577F1:490.98;0021_MeanDecodingIntensity_577F2:594.04;0021AEB:-;0021DecodingIntensityStdDev:84.334;0021DecodingIntensityStdDev_488:21.622;0021DecodingIntensityStdDev_647:84.334;0021DecodingIntensityStdDev_700:9.714;0021DecodingIntensityStdDev_750:6.010;0021F_on:0.8821;0021FillPercent:006.94;0021KineticInconsistentLower:0;0021KineticInconsistentMetadata:-445.668872168075|2.16;0021MeanDecodingIntensity:427.65;0021MeanDecodingIntensity_488:144.73;0021MeanDecodingIntensity_647:427.65;0021MeanDecodingIntensity_700:69.42;0021MeanDecodingIntensity_750:34.90;0021ReflectiveIntensity:12828.28;0021ReflectiveIntensityStdDev:515.902;0021SealTimeEstimate:23.8;0201_DecodingIntensityStdDev_577F1:66.958;0201_DecodingIntensityStdDev_577F2:137.126;0201_MeanDecodingIntensity_577F1:489.14;0201_MeanDecodingIntensity_577F2:589.58;0201AEB:-;0201DecodingIntensityStdDev:116.975;0201DecodingIntensityStdDev_488:25.581;0201DecodingIntensityStdDev_647:17.123;0201DecodingIntensityStdDev_700:116.975;0201DecodingIntensityStdDev_750:11.127;0201F_on:0.8640;0201FillPercent:008.02;0201KineticInconsistentLower:0;0201KineticInconsistentMetadata:-440.658617252492|2.15;0201MeanDecodingIntensity:506.77;0201MeanDecodingIntensity_488:147.12;0201MeanDecodingIntensity_647:98.08;0201MeanDecodingIntensity_700:506.77;0201MeanDecodingIntensity_750:64.82;0201ReflectiveIntensity:12886.67;0201ReflectiveIntensityStdDev:548.524;0201SealTimeEstimate:24.0;2001_DecodingIntensityStdDev_577F1:77.348;2001_DecodingIntensityStdDev_577F2:155.427;2001_MeanDecodingIntensity_577F1:520.81;2001_MeanDecodingIntensity_577F2:623.11;2001AEB:-;2001DecodingIntensityStdDev:219.734;2001DecodingIntensityStdDev_488:23.864;2001DecodingIntensityStdDev_647:5.442;2001DecodingIntensityStdDev_700:5.554;2001DecodingIntensityStdDev_750:219.734;2001F_on:0.8709;2001FillPercent:007.67;2001KineticInconsistentLower:0;2001KineticInconsistentMetadata:-457.796229354703|2.12;2001MeanDecodingIntensity:960.36;2001MeanDecodingIntensity_488:146.42;2001MeanDecodingIntensity_647:38.39;2001MeanDecodingIntensity_700:34.46;2001MeanDecodingIntensity_750:960.36;2001ReflectiveIntensity:12871.59;2001ReflectiveIntensityStdDev:552.185;2001SealTimeEstimate:24.7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11.12;Empties488F1MeanIntensity:72.33;Empties577F1IntensityStdDev:33.51;Empties577F1MeanIntensity:386.38;Empties577F2IntensityStdDev:58.63;Empties577F2MeanIntensity:386.46;Empties647F1IntensityStdDev:4.23;Empties647F1MeanIntensity:31.73;Empties700F1IntensityStdDev:4.10;Empties700F1MeanIntensity:29.47;Empties750F1IntensityStdDev:4.93;Empties750F1MeanIntensity:33.69;EmptiesIGrowth:339.30;EmptiesReflectiveIntensityStdDev:287.71;EmptiesReflectiveMeanIntensity:11580.28;Errors:;F2minusF1Shift:0.0;FittedF2OverF1Intercept:-374.815013477423;FittedF2OverF1Slope:1.96324026445602;FluorescenceClassification:Normal;Focus_FracImageLost:0.00;FocusScoresAvg:3.10;FocusScoresImageCenter:3.42;FocusScoresMax:4.31;FocusScoresMedian:3.06;FractionImageDebris:0.1185;FractionWellsDebris:0.1306;ImageQualityScoreIfUnpegged:1.00;IndexingWellsMissingFromFov:0;IndexingWellsTotalLostBothVisibleAndMissing:0;IndexingWellsVisibleInFovButRemoved:0;L1DR time (ms):31125;NetBeadFillRate:24.10;NormalizedFillPercentage:034.31;Notes:Xtalk: usable out of spec wv 577 sr 4 dir 5 value 0.036. | Xtalk: usable out of spec wv 577 sr 8 dir 5 value 0.036.;NumberDecSaturated:0;NumberEmpties:74915;NumberFlagged_DeadPixels:74.0000;NumberFlagged_Debris:25170.0000;NumberFlagged_MissingNeighbor:3194.0000;NumberFlagged_NeighborSaturated:18.0000;NumberFlagged_OddlyRecurrentClassification:3622.0000;NumberFlagged_OutOfBounds:4176.0000;NumberFlagged_SaturatedPixelResorufinTwo:03.0000;NumberFlagged_SaturationRemoverSuspiciousF1:02.0000;NumberInvalidWells:30494;NumberPositiveEmpties:108;NumberPositives:60312;NumberResSaturated:3;NumberSaturatedWithoutDebris:2;NumberValidUnclassified:48265.00;NumberValidWells:162303;OddlyAggregatedFlag:2;OddlyAggregatedLocations:;OddlyAggregatedWorst:0;OffsetW488:( 0, 0 );OffsetW577:( 0, 0 );OffsetW647:( 0, 1 );OffsetW700:( 0, 0 );OffsetW750:( 0, 0 );ResorufinUnsaturated:1;ResorufinUnsaturatedMutated:0;ResorufinUnsaturatedSuspiciousF1:2;ResorufinUnsaturaterNumberInFit:201;SaturatedDecodingWells:0;SuspiciousWells:27255;SuspiciousWellsFlagged:1;SuspiciousWellsLowerThreshold:4;Warnings:;WhiteLightChannelMedian:9815;XtalkSubregionsOutOfSpec:0</t>
  </si>
  <si>
    <t>0002_DecodingIntensityStdDev_577F1:67.220;0002_DecodingIntensityStdDev_577F2:139.389;0002_MeanDecodingIntensity_577F1:476.70;0002_MeanDecodingIntensity_577F2:568.56;0002AEB:-;0002DecodingIntensityStdDev:343.745;0002DecodingIntensityStdDev_488:343.745;0002DecodingIntensityStdDev_647:4.878;0002DecodingIntensityStdDev_700:4.728;0002DecodingIntensityStdDev_750:5.920;0002F_on:0.8166;0002FillPercent:011.58;0002KineticInconsistentLower:0;0002KineticInconsistentMetadata:-427.353462317648|2.14;0002MeanDecodingIntensity:1489.66;0002MeanDecodingIntensity_488:1489.66;0002MeanDecodingIntensity_647:34.82;0002MeanDecodingIntensity_700:30.09;0002MeanDecodingIntensity_750:34.79;0002ReflectiveIntensity:12878.56;0002ReflectiveIntensityStdDev:590.353;0002SealTimeEstimate:24.2;0021_DecodingIntensityStdDev_577F1:58.557;0021_DecodingIntensityStdDev_577F2:122.448;0021_MeanDecodingIntensity_577F1:476.54;0021_MeanDecodingIntensity_577F2:575.90;0021AEB:-;0021DecodingIntensityStdDev:83.555;0021DecodingIntensityStdDev_488:21.911;0021DecodingIntensityStdDev_647:83.555;0021DecodingIntensityStdDev_700:9.829;0021DecodingIntensityStdDev_750:6.224;0021F_on:0.8683;0021FillPercent:006.78;0021KineticInconsistentLower:0;0021KineticInconsistentMetadata:-444.525296632653|2.19;0021MeanDecodingIntensity:406.87;0021MeanDecodingIntensity_488:140.14;0021MeanDecodingIntensity_647:406.87;0021MeanDecodingIntensity_700:67.33;0021MeanDecodingIntensity_750:34.96;0021ReflectiveIntensity:12670.64;0021ReflectiveIntensityStdDev:503.106;0021SealTimeEstimate:23.1;0201_DecodingIntensityStdDev_577F1:60.596;0201_DecodingIntensityStdDev_577F2:126.368;0201_MeanDecodingIntensity_577F1:474.33;0201_MeanDecodingIntensity_577F2:571.06;0201AEB:-;0201DecodingIntensityStdDev:110.713;0201DecodingIntensityStdDev_488:25.964;0201DecodingIntensityStdDev_647:17.029;0201DecodingIntensityStdDev_700:110.713;0201DecodingIntensityStdDev_750:10.758;0201F_on:0.8492;0201FillPercent:007.88;0201KineticInconsistentLower:0;0201KineticInconsistentMetadata:-434.642904348518|2.17;0201MeanDecodingIntensity:476.73;0201MeanDecodingIntensity_488:142.64;0201MeanDecodingIntensity_647:96.02;0201MeanDecodingIntensity_700:476.73;0201MeanDecodingIntensity_750:63.78;0201ReflectiveIntensity:12722.02;0201ReflectiveIntensityStdDev:528.726;0201SealTimeEstimate:23.6;2001_DecodingIntensityStdDev_577F1:74.420;2001_DecodingIntensityStdDev_577F2:155.605;2001_MeanDecodingIntensity_577F1:504.90;2001_MeanDecodingIntensity_577F2:602.71;2001AEB:-;2001DecodingIntensityStdDev:221.877;2001DecodingIntensityStdDev_488:24.916;2001DecodingIntensityStdDev_647:5.535;2001DecodingIntensityStdDev_700:5.610;2001DecodingIntensityStdDev_750:221.877;2001F_on:0.8452;2001FillPercent:007.59;2001KineticInconsistentLower:0;2001KineticInconsistentMetadata:-442.31418949303|2.12;2001MeanDecodingIntensity:937.48;2001MeanDecodingIntensity_488:142.22;2001MeanDecodingIntensity_647:38.03;2001MeanDecodingIntensity_700:34.20;2001MeanDecodingIntensity_750:937.48;2001ReflectiveIntensity:12729.83;2001ReflectiveIntensityStdDev:546.385;2001SealTimeEstimate:24.7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11.28;Empties488F1MeanIntensity:71.25;Empties577F1IntensityStdDev:23.30;Empties577F1MeanIntensity:381.22;Empties577F2IntensityStdDev:32.10;Empties577F2MeanIntensity:381.65;Empties647F1IntensityStdDev:4.26;Empties647F1MeanIntensity:31.61;Empties700F1IntensityStdDev:4.17;Empties700F1MeanIntensity:29.31;Empties750F1IntensityStdDev:5.00;Empties750F1MeanIntensity:33.57;EmptiesIGrowth:202.34;EmptiesReflectiveIntensityStdDev:311.77;EmptiesReflectiveMeanIntensity:11488.36;Errors:;F2minusF1Shift:0.0;FluorescenceClassification:Normal;Focus_FracImageLost:0.00;FocusScoresAvg:3.07;FocusScoresImageCenter:3.98;FocusScoresMax:4.62;FocusScoresMedian:3.08;FractionImageDebris:0.0913;FractionWellsDebris:0.1045;ImageQualityScoreIfUnpegged:1.00;IndexingWellsMissingFromFov:0;IndexingWellsTotalLostBothVisibleAndMissing:0;IndexingWellsVisibleInFovButRemoved:0;L1DR time (ms):30478;NetBeadFillRate:23.77;NormalizedFillPercentage:033.83;Notes:Xtalk: usable out of spec wv 577 sr 4 dir 5 value 0.036. | Xtalk: usable out of spec wv 577 sr 9 dir 5 value 0.036.;NumberDecSaturated:0;NumberEmpties:77030;NumberFlagged_DeadPixels:73.0000;NumberFlagged_Debris:20157.0000;NumberFlagged_MissingNeighbor:2633.0000;NumberFlagged_NeighborSaturated:12.0000;NumberFlagged_OddlyRecurrentClassification:7359.0000;NumberFlagged_OutOfBounds:4161.0000;NumberFlagged_SaturatedPixelResorufinTwo:02.0000;NumberInvalidWells:27112;NumberPositiveEmpties:149;NumberPositives:59163;NumberResSaturated:2;NumberSaturatedWithoutDebris:1;NumberValidUnclassified:49285.00;NumberValidWells:165692;OddlyAggregatedFlag:2;OddlyAggregatedLocations:;OddlyAggregatedWorst:0;OffsetW488:( 1, 0 );OffsetW577:( 0, 0 );OffsetW647:( 0, 0 );OffsetW700:( 0, 0 );OffsetW750:( 0, 0 );ResorufinUnsaturated:0;ResorufinUnsaturatedMutated:0;ResorufinUnsaturaterNumberInFit:118;SaturatedDecodingWells:0;SuspiciousWells:22575;SuspiciousWellsFlagged:1;SuspiciousWellsLowerThreshold:4;Warnings:;WhiteLightChannelMedian:9717;XtalkSubregionsOutOfSpec:0</t>
  </si>
  <si>
    <t>0002_DecodingIntensityStdDev_577F1:93.955;0002_DecodingIntensityStdDev_577F2:187.905;0002_MeanDecodingIntensity_577F1:492.70;0002_MeanDecodingIntensity_577F2:591.54;0002AEB:-;0002DecodingIntensityStdDev:353.858;0002DecodingIntensityStdDev_488:353.858;0002DecodingIntensityStdDev_647:4.849;0002DecodingIntensityStdDev_700:4.711;0002DecodingIntensityStdDev_750:5.871;0002F_on:0.8301;0002FillPercent:012.14;0002KineticInconsistentLower:0;0002KineticInconsistentMetadata:-399.981205507009|2.06;0002MeanDecodingIntensity:1595.59;0002MeanDecodingIntensity_488:1595.59;0002MeanDecodingIntensity_647:35.18;0002MeanDecodingIntensity_700:30.23;0002MeanDecodingIntensity_750:34.91;0002ReflectiveIntensity:13255.88;0002ReflectiveIntensityStdDev:626.755;0002SealTimeEstimate:26.1;0021_DecodingIntensityStdDev_577F1:80.069;0021_DecodingIntensityStdDev_577F2:163.015;0021_MeanDecodingIntensity_577F1:490.44;0021_MeanDecodingIntensity_577F2:595.41;0021AEB:-;0021DecodingIntensityStdDev:86.660;0021DecodingIntensityStdDev_488:21.590;0021DecodingIntensityStdDev_647:86.660;0021DecodingIntensityStdDev_700:10.106;0021DecodingIntensityStdDev_750:5.975;0021F_on:0.8755;0021FillPercent:007.08;0021KineticInconsistentLower:0;0021KineticInconsistentMetadata:-411.715147295929|2.1;0021MeanDecodingIntensity:435.98;0021MeanDecodingIntensity_488:144.52;0021MeanDecodingIntensity_647:435.98;0021MeanDecodingIntensity_700:70.40;0021MeanDecodingIntensity_750:34.85;0021ReflectiveIntensity:13008.18;0021ReflectiveIntensityStdDev:530.792;0021SealTimeEstimate:25.1;0201_DecodingIntensityStdDev_577F1:101.599;0201_DecodingIntensityStdDev_577F2:197.383;0201_MeanDecodingIntensity_577F1:491.28;0201_MeanDecodingIntensity_577F2:595.78;0201AEB:-;0201DecodingIntensityStdDev:112.729;0201DecodingIntensityStdDev_488:25.426;0201DecodingIntensityStdDev_647:16.655;0201DecodingIntensityStdDev_700:112.729;0201DecodingIntensityStdDev_750:10.457;0201F_on:0.8632;0201FillPercent:008.12;0201KineticInconsistentLower:0;0201KineticInconsistentMetadata:-398.499557945418|2.07;0201MeanDecodingIntensity:515.68;0201MeanDecodingIntensity_488:147.11;0201MeanDecodingIntensity_647:100.56;0201MeanDecodingIntensity_700:515.68;0201MeanDecodingIntensity_750:65.89;0201ReflectiveIntensity:13049.39;0201ReflectiveIntensityStdDev:566.968;0201SealTimeEstimate:25.9;2001_DecodingIntensityStdDev_577F1:95.206;2001_DecodingIntensityStdDev_577F2:190.826;2001_MeanDecodingIntensity_577F1:521.85;2001_MeanDecodingIntensity_577F2:625.27;2001AEB:-;2001DecodingIntensityStdDev:232.505;2001DecodingIntensityStdDev_488:24.040;2001DecodingIntensityStdDev_647:5.263;2001DecodingIntensityStdDev_700:5.437;2001DecodingIntensityStdDev_750:232.505;2001F_on:0.8578;2001FillPercent:007.69;2001KineticInconsistentLower:0;2001KineticInconsistentMetadata:-425.717060782535|2.06;2001MeanDecodingIntensity:1018.94;2001MeanDecodingIntensity_488:146.36;2001MeanDecodingIntensity_647:38.54;2001MeanDecodingIntensity_700:34.62;2001MeanDecodingIntensity_750:1018.94;2001ReflectiveIntensity:13041.78;2001ReflectiveIntensityStdDev:566.247;2001SealTimeEstimate:26.1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11.95;Empties488F1MeanIntensity:70.98;Empties577F1IntensityStdDev:61.73;Empties577F1MeanIntensity:377.82;Empties577F2IntensityStdDev:110.64;Empties577F2MeanIntensity:380.23;Empties647F1IntensityStdDev:4.36;Empties647F1MeanIntensity:31.79;Empties700F1IntensityStdDev:4.30;Empties700F1MeanIntensity:29.54;Empties750F1IntensityStdDev:5.21;Empties750F1MeanIntensity:33.91;EmptiesIGrowth:537.70;EmptiesReflectiveIntensityStdDev:357.75;EmptiesReflectiveMeanIntensity:11732.02;Errors:;F2minusF1Shift:-1.0;FittedF2OverF1Intercept:-428.45138305126;FittedF2OverF1Slope:2.00252202742903;FluorescenceClassification:Normal;Focus_FracImageLost:0.00;FocusScoresAvg:3.23;FocusScoresImageCenter:4.20;FocusScoresMax:4.73;FocusScoresMedian:3.18;FractionImageDebris:0.0637;FractionWellsDebris:0.0750;ImageQualityScoreIfUnpegged:1.00;IndexingWellsMissingFromFov:0;IndexingWellsTotalLostBothVisibleAndMissing:0;IndexingWellsVisibleInFovButRemoved:0;L1DR time (ms):31710;NetBeadFillRate:24.62;NormalizedFillPercentage:035.04;Notes:Xtalk: usable out of spec wv 577 sr 4 dir 5 value 0.036. | Xtalk: usable out of spec wv 577 sr 8 dir 5 value 0.043.;NumberDecSaturated:0;NumberEmpties:78405;NumberFlagged_DeadPixels:74.0000;NumberFlagged_Debris:14443.0000;NumberFlagged_MissingNeighbor:3021.0000;NumberFlagged_NeighborSaturated:90.0000;NumberFlagged_OddlyRecurrentClassification:3536.0000;NumberFlagged_OutOfBounds:4121.0000;NumberFlagged_SaturatedPixelResorufinTwo:15.0000;NumberFlagged_SaturationRemoverSuspiciousF1:15.0000;NumberInvalidWells:20884;NumberPositiveEmpties:260;NumberPositives:60894;NumberResSaturated:15;NumberSaturatedWithoutDebris:9;NumberValidUnclassified:51110.00;NumberValidWells:171807;OddlyAggregatedFlag:2;OddlyAggregatedLocations:;OddlyAggregatedWorst:0;OffsetW488:( 1, 0 );OffsetW577:( 0, 0 );OffsetW647:( 0, 0 );OffsetW700:( 0, 0 );OffsetW750:( 0, 0 );ResorufinUnsaturated:1;ResorufinUnsaturatedMutated:0;ResorufinUnsaturatedSuspiciousF1:15;ResorufinUnsaturaterNumberInFit:368;SaturatedDecodingWells:0;SuspiciousWells:25000;SuspiciousWellsFlagged:1;SuspiciousWellsLowerThreshold:4;Warnings:;WhiteLightChannelMedian:9905;XtalkSubregionsOutOfSpec:0</t>
  </si>
  <si>
    <t>low-1-2-5</t>
  </si>
  <si>
    <t>Plate 1 - Well E3</t>
  </si>
  <si>
    <t>0002_DecodingIntensityStdDev_577F1:86.254;0002_DecodingIntensityStdDev_577F2:191.551;0002_MeanDecodingIntensity_577F1:548.32;0002_MeanDecodingIntensity_577F2:749.13;0002AEB:-;0002DecodingIntensityStdDev:351.422;0002DecodingIntensityStdDev_488:351.422;0002DecodingIntensityStdDev_647:4.856;0002DecodingIntensityStdDev_700:4.762;0002DecodingIntensityStdDev_750:5.971;0002F_on:0.9912;0002FillPercent:014.05;0002KineticInconsistentLower:0;0002KineticInconsistentMetadata:-536.217127607442|2.4;0002MeanDecodingIntensity:1526.84;0002MeanDecodingIntensity_488:1526.84;0002MeanDecodingIntensity_647:34.78;0002MeanDecodingIntensity_700:30.13;0002MeanDecodingIntensity_750:34.70;0002ReflectiveIntensity:12959.10;0002ReflectiveIntensityStdDev:575.705;0002SealTimeEstimate:19.5;0021_DecodingIntensityStdDev_577F1:89.077;0021_DecodingIntensityStdDev_577F2:202.414;0021_MeanDecodingIntensity_577F1:564.29;0021_MeanDecodingIntensity_577F2:800.25;0021AEB:-;0021DecodingIntensityStdDev:86.675;0021DecodingIntensityStdDev_488:21.574;0021DecodingIntensityStdDev_647:86.675;0021DecodingIntensityStdDev_700:9.915;0021DecodingIntensityStdDev_750:6.363;0021F_on:0.9959;0021FillPercent:008.03;0021KineticInconsistentLower:0;0021KineticInconsistentMetadata:-551.35106353738|2.45;0021MeanDecodingIntensity:414.57;0021MeanDecodingIntensity_488:139.21;0021MeanDecodingIntensity_647:414.57;0021MeanDecodingIntensity_700:68.11;0021MeanDecodingIntensity_750:35.01;0021ReflectiveIntensity:12738.58;0021ReflectiveIntensityStdDev:460.539;0021SealTimeEstimate:18.8;0201_DecodingIntensityStdDev_577F1:81.524;0201_DecodingIntensityStdDev_577F2:180.759;0201_MeanDecodingIntensity_577F1:561.70;0201_MeanDecodingIntensity_577F2:792.65;0201AEB:-;0201DecodingIntensityStdDev:116.157;0201DecodingIntensityStdDev_488:24.823;0201DecodingIntensityStdDev_647:17.893;0201DecodingIntensityStdDev_700:116.157;0201DecodingIntensityStdDev_750:10.602;0201F_on:0.9946;0201FillPercent:009.25;0201KineticInconsistentLower:0;0201KineticInconsistentMetadata:-552.066697415554|2.45;0201MeanDecodingIntensity:493.40;0201MeanDecodingIntensity_488:141.57;0201MeanDecodingIntensity_647:98.38;0201MeanDecodingIntensity_700:493.40;0201MeanDecodingIntensity_750:64.15;0201ReflectiveIntensity:12782.81;0201ReflectiveIntensityStdDev:491.064;0201SealTimeEstimate:18.8;2001_DecodingIntensityStdDev_577F1:95.239;2001_DecodingIntensityStdDev_577F2:214.779;2001_MeanDecodingIntensity_577F1:590.02;2001_MeanDecodingIntensity_577F2:818.09;2001AEB:-;2001DecodingIntensityStdDev:225.675;2001DecodingIntensityStdDev_488:23.857;2001DecodingIntensityStdDev_647:5.325;2001DecodingIntensityStdDev_700:5.509;2001DecodingIntensityStdDev_750:225.675;2001F_on:0.9956;2001FillPercent:008.86;2001KineticInconsistentLower:0;2001KineticInconsistentMetadata:-582.807211538872|2.43;2001MeanDecodingIntensity:956.61;2001MeanDecodingIntensity_488:141.08;2001MeanDecodingIntensity_647:38.08;2001MeanDecodingIntensity_700:34.24;2001MeanDecodingIntensity_750:956.61;2001ReflectiveIntensity:12783.17;2001ReflectiveIntensityStdDev:521.200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11.50;Empties488F1MeanIntensity:69.21;Empties577F1IntensityStdDev:22.83;Empties577F1MeanIntensity:391.52;Empties577F2IntensityStdDev:35.12;Empties577F2MeanIntensity:394.23;Empties647F1IntensityStdDev:4.27;Empties647F1MeanIntensity:31.47;Empties700F1IntensityStdDev:4.24;Empties700F1MeanIntensity:29.32;Empties750F1IntensityStdDev:5.11;Empties750F1MeanIntensity:33.55;EmptiesIGrowth:192.29;EmptiesReflectiveIntensityStdDev:259.88;EmptiesReflectiveMeanIntensity:11526.29;Errors:;F2minusF1Shift:-3.0;FittedF2OverF1Intercept:-878.26213259631;FittedF2OverF1Slope:2.51600912243586;FluorescenceClassification:Normal;Focus_FracImageLost:0.00;FocusScoresAvg:3.23;FocusScoresImageCenter:4.13;FocusScoresMax:4.60;FocusScoresMedian:3.21;FractionImageDebris:0.1523;FractionWellsDebris:0.1748;ImageQualityScoreIfUnpegged:1.00;IndexingWellsMissingFromFov:0;IndexingWellsTotalLostBothVisibleAndMissing:0;IndexingWellsVisibleInFovButRemoved:0;L1DR time (ms):29772;NetBeadFillRate:28.22;NormalizedFillPercentage:040.20;Notes:Xtalk: usable out of spec wv 577 sr 4 dir 5 value 0.046. | Xtalk: usable out of spec wv 577 sr 8 dir 5 value 0.041.;NumberDecSaturated:0;NumberEmpties:58226;NumberFlagged_DeadPixels:76.0000;NumberFlagged_Debris:33728.0000;NumberFlagged_MissingNeighbor:2221.0000;NumberFlagged_NeighborSaturated:06.0000;NumberFlagged_OddlyRecurrentClassification:28039.0000;NumberFlagged_OutOfBounds:4146.0000;NumberFlagged_SaturatedPixelResorufinTwo:01.0000;NumberInvalidWells:54231;NumberPositiveEmpties:247;NumberPositives:83619;NumberResSaturated:1;NumberSaturatedWithoutDebris:1;NumberValidUnclassified:41337.00;NumberValidWells:138697;OddlyAggregatedFlag:2;OddlyAggregatedLocations:;OddlyAggregatedWorst:0;OffsetW488:( 1, 0 );OffsetW577:( 0, 0 );OffsetW647:( 0, 0 );OffsetW700:( 0, 0 );OffsetW750:( 0, 0 );ResorufinUnsaturated:1;ResorufinUnsaturatedMutated:4;ResorufinUnsaturatedSuspiciousF1:0;ResorufinUnsaturaterNumberInFit:334;SaturatedDecodingWells:0;SuspiciousWells:27712;SuspiciousWellsFlagged:1;SuspiciousWellsLowerThreshold:4;Warnings:;WhiteLightChannelMedian:9774;XtalkSubregionsOutOfSpec:0</t>
  </si>
  <si>
    <t>0002_DecodingIntensityStdDev_577F1:85.695;0002_DecodingIntensityStdDev_577F2:185.673;0002_MeanDecodingIntensity_577F1:555.37;0002_MeanDecodingIntensity_577F2:764.89;0002AEB:-;0002DecodingIntensityStdDev:350.325;0002DecodingIntensityStdDev_488:350.325;0002DecodingIntensityStdDev_647:4.931;0002DecodingIntensityStdDev_700:4.844;0002DecodingIntensityStdDev_750:6.068;0002F_on:0.9949;0002FillPercent:013.91;0002KineticInconsistentLower:0;0002KineticInconsistentMetadata:-530.597120876324|2.39;0002MeanDecodingIntensity:1580.35;0002MeanDecodingIntensity_488:1580.35;0002MeanDecodingIntensity_647:34.83;0002MeanDecodingIntensity_700:30.22;0002MeanDecodingIntensity_750:34.74;0002ReflectiveIntensity:13021.72;0002ReflectiveIntensityStdDev:590.978;0002SealTimeEstimate:19.7;0021_DecodingIntensityStdDev_577F1:84.668;0021_DecodingIntensityStdDev_577F2:190.012;0021_MeanDecodingIntensity_577F1:574.04;0021_MeanDecodingIntensity_577F2:822.32;0021AEB:-;0021DecodingIntensityStdDev:84.353;0021DecodingIntensityStdDev_488:21.057;0021DecodingIntensityStdDev_647:84.353;0021DecodingIntensityStdDev_700:9.807;0021DecodingIntensityStdDev_750:6.220;0021F_on:0.9985;0021FillPercent:008.48;0021KineticInconsistentLower:0;0021KineticInconsistentMetadata:-551.200446912432|2.45;0021MeanDecodingIntensity:423.73;0021MeanDecodingIntensity_488:139.41;0021MeanDecodingIntensity_647:423.73;0021MeanDecodingIntensity_700:68.77;0021MeanDecodingIntensity_750:34.88;0021ReflectiveIntensity:12798.16;0021ReflectiveIntensityStdDev:470.467;0021SealTimeEstimate:18.8;0201_DecodingIntensityStdDev_577F1:81.212;0201_DecodingIntensityStdDev_577F2:176.853;0201_MeanDecodingIntensity_577F1:568.39;0201_MeanDecodingIntensity_577F2:808.29;0201AEB:-;0201DecodingIntensityStdDev:111.972;0201DecodingIntensityStdDev_488:23.463;0201DecodingIntensityStdDev_647:16.751;0201DecodingIntensityStdDev_700:111.972;0201DecodingIntensityStdDev_750:10.530;0201F_on:0.9987;0201FillPercent:009.58;0201KineticInconsistentLower:0;0201KineticInconsistentMetadata:-534.995264725336|2.42;0201MeanDecodingIntensity:498.80;0201MeanDecodingIntensity_488:141.04;0201MeanDecodingIntensity_647:99.21;0201MeanDecodingIntensity_700:498.80;0201MeanDecodingIntensity_750:64.33;0201ReflectiveIntensity:12841.66;0201ReflectiveIntensityStdDev:492.573;0201SealTimeEstimate:19.2;2001_DecodingIntensityStdDev_577F1:84.436;2001_DecodingIntensityStdDev_577F2:184.832;2001_MeanDecodingIntensity_577F1:597.08;2001_MeanDecodingIntensity_577F2:835.55;2001AEB:-;2001DecodingIntensityStdDev:220.992;2001DecodingIntensityStdDev_488:22.955;2001DecodingIntensityStdDev_647:5.397;2001DecodingIntensityStdDev_700:5.527;2001DecodingIntensityStdDev_750:220.992;2001F_on:0.9982;2001FillPercent:009.17;2001KineticInconsistentLower:0;2001KineticInconsistentMetadata:-564.017591076258|2.4;2001MeanDecodingIntensity:955.64;2001MeanDecodingIntensity_488:140.76;2001MeanDecodingIntensity_647:38.11;2001MeanDecodingIntensity_700:34.25;2001MeanDecodingIntensity_750:955.64;2001ReflectiveIntensity:12843.81;2001ReflectiveIntensityStdDev:514.173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11.48;Empties488F1MeanIntensity:68.86;Empties577F1IntensityStdDev:35.03;Empties577F1MeanIntensity:392.73;Empties577F2IntensityStdDev:71.23;Empties577F2MeanIntensity:395.85;Empties647F1IntensityStdDev:4.35;Empties647F1MeanIntensity:31.51;Empties700F1IntensityStdDev:4.34;Empties700F1MeanIntensity:29.36;Empties750F1IntensityStdDev:5.13;Empties750F1MeanIntensity:33.45;EmptiesIGrowth:292.45;EmptiesReflectiveIntensityStdDev:251.69;EmptiesReflectiveMeanIntensity:11600.36;Errors:;F2minusF1Shift:-1.0;FittedF2OverF1Intercept:-855.736354404194;FittedF2OverF1Slope:2.4819156333424;FluorescenceClassification:Normal;Focus_FracImageLost:0.00;FocusScoresAvg:3.24;FocusScoresImageCenter:3.52;FocusScoresMax:4.77;FocusScoresMedian:3.27;FractionImageDebris:0.1625;FractionWellsDebris:0.1847;ImageQualityScoreIfUnpegged:1.00;IndexingWellsMissingFromFov:0;IndexingWellsTotalLostBothVisibleAndMissing:0;IndexingWellsVisibleInFovButRemoved:0;L1DR time (ms):29377;NetBeadFillRate:28.87;NormalizedFillPercentage:041.13;Notes:Xtalk: usable out of spec wv 577 sr 0 dir 5 value 0.036. | Xtalk: usable out of spec wv 577 sr 4 dir 5 value 0.043. | Xtalk: usable out of spec wv 577 sr 8 dir 5 value 0.041. | Xtalk: usable out of spec wv 577 sr 9 dir 5 value 0.036.;NumberDecSaturated:1;NumberEmpties:54772;NumberFlagged_DeadPixels:80.0000;NumberFlagged_Debris:35598.0000;NumberFlagged_MissingNeighbor:2802.0000;NumberFlagged_NeighborSaturated:18.0000;NumberFlagged_OddlyRecurrentClassification:39336.0000;NumberFlagged_OutOfBounds:4172.0000;NumberFlagged_SaturatedPixelDecodingFour:01.0000;NumberFlagged_SaturatedPixelResorufinTwo:02.0000;NumberFlagged_SaturationRemoverSuspiciousF1:02.0000;NumberInvalidWells:60134;NumberPositiveEmpties:250;NumberPositives:88048;NumberResSaturated:2;NumberSaturatedWithoutDebris:2;NumberValidUnclassified:39531.00;NumberValidWells:132577;OddlyAggregatedFlag:2;OddlyAggregatedLocations:;OddlyAggregatedWorst:0;OffsetW488:( 0, -1 );OffsetW577:( 0, 0 );OffsetW647:( 0, 0 );OffsetW700:( 0, 0 );OffsetW750:( 0, 0 );ResorufinUnsaturated:1;ResorufinUnsaturatedMutated:4;ResorufinUnsaturatedSuspiciousF1:2;ResorufinUnsaturaterNumberInFit:465;SaturatedDecodingWells:1;SuspiciousWells:29792;SuspiciousWellsFlagged:1;SuspiciousWellsLowerThreshold:4;Warnings:;WhiteLightChannelMedian:9807;XtalkSubregionsOutOfSpec:0</t>
  </si>
  <si>
    <t>0002_DecodingIntensityStdDev_577F1:93.109;0002_DecodingIntensityStdDev_577F2:184.931;0002_MeanDecodingIntensity_577F1:552.52;0002_MeanDecodingIntensity_577F2:745.55;0002AEB:-;0002DecodingIntensityStdDev:342.897;0002DecodingIntensityStdDev_488:342.897;0002DecodingIntensityStdDev_647:4.526;0002DecodingIntensityStdDev_700:4.355;0002DecodingIntensityStdDev_750:5.333;0002F_on:0.9874;0002FillPercent:011.74;0002KineticInconsistentLower:0;0002KineticInconsistentMetadata:-424.340753958491|2.17;0002MeanDecodingIntensity:1637.04;0002MeanDecodingIntensity_488:1637.04;0002MeanDecodingIntensity_647:34.90;0002MeanDecodingIntensity_700:29.99;0002MeanDecodingIntensity_750:34.42;0002ReflectiveIntensity:13433.20;0002ReflectiveIntensityStdDev:604.941;0002SealTimeEstimate:23.6;0021_DecodingIntensityStdDev_577F1:98.843;0021_DecodingIntensityStdDev_577F2:199.150;0021_MeanDecodingIntensity_577F1:572.71;0021_MeanDecodingIntensity_577F2:799.52;0021AEB:-;0021DecodingIntensityStdDev:82.143;0021DecodingIntensityStdDev_488:19.211;0021DecodingIntensityStdDev_647:82.143;0021DecodingIntensityStdDev_700:9.296;0021DecodingIntensityStdDev_750:5.325;0021F_on:0.9944;0021FillPercent:006.62;0021KineticInconsistentLower:0;0021KineticInconsistentMetadata:-435.056362829945|2.21;0021MeanDecodingIntensity:435.31;0021MeanDecodingIntensity_488:136.57;0021MeanDecodingIntensity_647:435.31;0021MeanDecodingIntensity_700:69.46;0021MeanDecodingIntensity_750:34.45;0021ReflectiveIntensity:13175.41;0021ReflectiveIntensityStdDev:513.580;0021SealTimeEstimate:22.7;0201_DecodingIntensityStdDev_577F1:97.337;0201_DecodingIntensityStdDev_577F2:196.669;0201_MeanDecodingIntensity_577F1:567.82;0201_MeanDecodingIntensity_577F2:788.32;0201AEB:-;0201DecodingIntensityStdDev:101.134;0201DecodingIntensityStdDev_488:20.441;0201DecodingIntensityStdDev_647:14.795;0201DecodingIntensityStdDev_700:101.134;0201DecodingIntensityStdDev_750:9.151;0201F_on:0.9933;0201FillPercent:007.26;0201KineticInconsistentLower:0;0201KineticInconsistentMetadata:-430.031761472727|2.2;0201MeanDecodingIntensity:515.25;0201MeanDecodingIntensity_488:137.59;0201MeanDecodingIntensity_647:101.51;0201MeanDecodingIntensity_700:515.25;0201MeanDecodingIntensity_750:65.14;0201ReflectiveIntensity:13191.95;0201ReflectiveIntensityStdDev:518.489;0201SealTimeEstimate:22.9;2001_DecodingIntensityStdDev_577F1:105.551;2001_DecodingIntensityStdDev_577F2:211.609;2001_MeanDecodingIntensity_577F1:598.23;2001_MeanDecodingIntensity_577F2:817.99;2001AEB:-;2001DecodingIntensityStdDev:197.129;2001DecodingIntensityStdDev_488:20.754;2001DecodingIntensityStdDev_647:4.950;2001DecodingIntensityStdDev_700:4.810;2001DecodingIntensityStdDev_750:197.129;2001F_on:0.9939;2001FillPercent:007.02;2001KineticInconsistentLower:0;2001KineticInconsistentMetadata:-460.090744592721|2.19;2001MeanDecodingIntensity:1010.77;2001MeanDecodingIntensity_488:138.23;2001MeanDecodingIntensity_647:38.25;2001MeanDecodingIntensity_700:34.10;2001MeanDecodingIntensity_750:1010.77;2001ReflectiveIntensity:13187.43;2001ReflectiveIntensityStdDev:533.995;2001SealTimeEstimate:23.1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10.54;Empties488F1MeanIntensity:64.87;Empties577F1IntensityStdDev:36.45;Empties577F1MeanIntensity:358.74;Empties577F2IntensityStdDev:41.25;Empties577F2MeanIntensity:362.05;Empties647F1IntensityStdDev:4.13;Empties647F1MeanIntensity:31.57;Empties700F1IntensityStdDev:4.05;Empties700F1MeanIntensity:29.32;Empties750F1IntensityStdDev:4.85;Empties750F1MeanIntensity:33.60;EmptiesIGrowth:167.85;EmptiesReflectiveIntensityStdDev:353.60;EmptiesReflectiveMeanIntensity:11928.75;Errors:;F2minusF1Shift:-3.0;FittedF2OverF1Intercept:-532.441801124855;FittedF2OverF1Slope:2.13944415213192;FluorescenceClassification:Normal;Focus_FracImageLost:0.00;FocusScoresAvg:3.25;FocusScoresImageCenter:4.42;FocusScoresMax:4.79;FocusScoresMedian:3.25;FractionImageDebris:0.1009;FractionWellsDebris:0.1190;ImageQualityScoreIfUnpegged:1.00;IndexingWellsMissingFromFov:0;IndexingWellsTotalLostBothVisibleAndMissing:0;IndexingWellsVisibleInFovButRemoved:0;L1DR time (ms):30072;NetBeadFillRate:22.95;NormalizedFillPercentage:032.64;Notes:Xtalk: usable out of spec wv 577 sr 4 dir 5 value 0.046. | Xtalk: usable out of spec wv 577 sr 8 dir 5 value 0.046.;NumberDecSaturated:0;NumberEmpties:77999;NumberFlagged_DeadPixels:69.0000;NumberFlagged_Debris:22928.0000;NumberFlagged_MissingNeighbor:2980.0000;NumberFlagged_NeighborSaturated:12.0000;NumberFlagged_OddlyRecurrentClassification:337.0000;NumberFlagged_OutOfBounds:4147.0000;NumberFlagged_SaturatedPixelResorufinTwo:02.0000;NumberFlagged_SaturationRemoverSuspiciousF1:02.0000;NumberInvalidWells:27880;NumberPositiveEmpties:171;NumberPositives:64445;NumberResSaturated:2;NumberSaturatedWithoutDebris:2;NumberValidUnclassified:48926.00;NumberValidWells:164721;OddlyAggregatedFlag:2;OddlyAggregatedLocations:;OddlyAggregatedWorst:0;OffsetW488:( 1, -1 );OffsetW577:( 0, 0 );OffsetW647:( 0, 0 );OffsetW700:( 0, 0 );OffsetW750:( 0, -1 );ResorufinUnsaturated:1;ResorufinUnsaturatedMutated:0;ResorufinUnsaturatedSuspiciousF1:2;ResorufinUnsaturaterNumberInFit:453;SaturatedDecodingWells:0;SuspiciousWells:27379;SuspiciousWellsFlagged:1;SuspiciousWellsLowerThreshold:3;Warnings:;WhiteLightChannelMedian:9938;XtalkSubregionsOutOfSpec:0</t>
  </si>
  <si>
    <t>low-1-2-6</t>
  </si>
  <si>
    <t>Plate 1 - Well F3</t>
  </si>
  <si>
    <t>0002_DecodingIntensityStdDev_577F1:67.332;0002_DecodingIntensityStdDev_577F2:144.237;0002_MeanDecodingIntensity_577F1:489.87;0002_MeanDecodingIntensity_577F2:594.83;0002AEB:-;0002DecodingIntensityStdDev:349.240;0002DecodingIntensityStdDev_488:349.240;0002DecodingIntensityStdDev_647:4.729;0002DecodingIntensityStdDev_700:4.475;0002DecodingIntensityStdDev_750:5.570;0002F_on:0.8735;0002FillPercent:012.99;0002KineticInconsistentLower:0;0002KineticInconsistentMetadata:-485.275851291504|2.25;0002MeanDecodingIntensity:1611.57;0002MeanDecodingIntensity_488:1611.57;0002MeanDecodingIntensity_647:34.67;0002MeanDecodingIntensity_700:29.96;0002MeanDecodingIntensity_750:34.51;0002ReflectiveIntensity:13097.08;0002ReflectiveIntensityStdDev:565.516;0002SealTimeEstimate:22.0;0021_DecodingIntensityStdDev_577F1:62.097;0021_DecodingIntensityStdDev_577F2:134.745;0021_MeanDecodingIntensity_577F1:488.99;0021_MeanDecodingIntensity_577F2:600.50;0021AEB:-;0021DecodingIntensityStdDev:86.844;0021DecodingIntensityStdDev_488:20.504;0021DecodingIntensityStdDev_647:86.844;0021DecodingIntensityStdDev_700:9.790;0021DecodingIntensityStdDev_750:5.870;0021F_on:0.9069;0021FillPercent:007.47;0021KineticInconsistentLower:0;0021KineticInconsistentMetadata:-498.116228340166|2.29;0021MeanDecodingIntensity:424.23;0021MeanDecodingIntensity_488:136.48;0021MeanDecodingIntensity_647:424.23;0021MeanDecodingIntensity_700:68.40;0021MeanDecodingIntensity_750:34.55;0021ReflectiveIntensity:12868.12;0021ReflectiveIntensityStdDev:463.148;0021SealTimeEstimate:21.3;0201_DecodingIntensityStdDev_577F1:67.326;0201_DecodingIntensityStdDev_577F2:146.186;0201_MeanDecodingIntensity_577F1:486.92;0201_MeanDecodingIntensity_577F2:596.39;0201AEB:-;0201DecodingIntensityStdDev:105.925;0201DecodingIntensityStdDev_488:22.102;0201DecodingIntensityStdDev_647:15.340;0201DecodingIntensityStdDev_700:105.925;0201DecodingIntensityStdDev_750:9.760;0201F_on:0.9004;0201FillPercent:008.60;0201KineticInconsistentLower:0;0201KineticInconsistentMetadata:-492.400093841336|2.28;0201MeanDecodingIntensity:498.55;0201MeanDecodingIntensity_488:137.39;0201MeanDecodingIntensity_647:97.46;0201MeanDecodingIntensity_700:498.55;0201MeanDecodingIntensity_750:63.98;0201ReflectiveIntensity:12893.91;0201ReflectiveIntensityStdDev:478.594;0201SealTimeEstimate:21.4;2001_DecodingIntensityStdDev_577F1:62.197;2001_DecodingIntensityStdDev_577F2:131.712;2001_MeanDecodingIntensity_577F1:515.57;2001_MeanDecodingIntensity_577F2:624.62;2001AEB:-;2001DecodingIntensityStdDev:203.685;2001DecodingIntensityStdDev_488:21.642;2001DecodingIntensityStdDev_647:5.138;2001DecodingIntensityStdDev_700:5.130;2001DecodingIntensityStdDev_750:203.685;2001F_on:0.8993;2001FillPercent:008.25;2001KineticInconsistentLower:0;2001KineticInconsistentMetadata:-506.546714554741|2.24;2001MeanDecodingIntensity:937.01;2001MeanDecodingIntensity_488:137.21;2001MeanDecodingIntensity_647:37.71;2001MeanDecodingIntensity_700:33.96;2001MeanDecodingIntensity_750:937.01;2001ReflectiveIntensity:12892.24;2001ReflectiveIntensityStdDev:484.606;2001SealTimeEstimate:22.2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10.87;Empties488F1MeanIntensity:67.12;Empties577F1IntensityStdDev:32.10;Empties577F1MeanIntensity:385.99;Empties577F2IntensityStdDev:59.28;Empties577F2MeanIntensity:387.64;Empties647F1IntensityStdDev:4.18;Empties647F1MeanIntensity:31.46;Empties700F1IntensityStdDev:4.11;Empties700F1MeanIntensity:29.28;Empties750F1IntensityStdDev:4.89;Empties750F1MeanIntensity:33.46;EmptiesIGrowth:299.13;EmptiesReflectiveIntensityStdDev:255.57;EmptiesReflectiveMeanIntensity:11695.30;Errors:;F2minusF1Shift:-1.0;FluorescenceClassification:Normal;Focus_FracImageLost:0.00;FocusScoresAvg:3.14;FocusScoresImageCenter:4.41;FocusScoresMax:4.95;FocusScoresMedian:3.20;FractionImageDebris:0.0997;FractionWellsDebris:0.1011;ImageQualityScoreIfUnpegged:1.00;IndexingWellsMissingFromFov:0;IndexingWellsTotalLostBothVisibleAndMissing:0;IndexingWellsVisibleInFovButRemoved:0;L1DR time (ms):30824;NetBeadFillRate:26.21;NormalizedFillPercentage:037.30;Notes:Xtalk: usable out of spec wv 577 sr 4 dir 5 value 0.036.;NumberDecSaturated:0;NumberEmpties:72918;NumberFlagged_DeadPixels:70.0000;NumberFlagged_Debris:19328.0000;NumberFlagged_MissingNeighbor:4121.0000;NumberFlagged_NeighborSaturated:36.0000;NumberFlagged_OddlyRecurrentClassification:5566.0000;NumberFlagged_OutOfBounds:3997.0000;NumberFlagged_SaturatedPixelResorufinTwo:06.0000;NumberInvalidWells:25646;NumberPositiveEmpties:190;NumberPositives:66717;NumberResSaturated:6;NumberSaturatedWithoutDebris:4;NumberValidUnclassified:49231.00;NumberValidWells:165534;OddlyAggregatedFlag:2;OddlyAggregatedLocations:;OddlyAggregatedWorst:0;OffsetW488:( 0, 0 );OffsetW577:( 0, 0 );OffsetW647:( 0, 0 );OffsetW700:( 0, 0 );OffsetW750:( 0, 0 );ResorufinUnsaturated:0;ResorufinUnsaturatedMutated:0;ResorufinUnsaturaterNumberInFit:129;SaturatedDecodingWells:0;SuspiciousWells:24871;SuspiciousWellsFlagged:1;SuspiciousWellsLowerThreshold:3;Warnings:;WhiteLightChannelMedian:9835;XtalkSubregionsOutOfSpec:0</t>
  </si>
  <si>
    <t>0002_DecodingIntensityStdDev_577F1:71.023;0002_DecodingIntensityStdDev_577F2:135.858;0002_MeanDecodingIntensity_577F1:484.78;0002_MeanDecodingIntensity_577F2:589.32;0002AEB:-;0002DecodingIntensityStdDev:351.506;0002DecodingIntensityStdDev_488:351.506;0002DecodingIntensityStdDev_647:4.821;0002DecodingIntensityStdDev_700:4.534;0002DecodingIntensityStdDev_750:5.692;0002F_on:0.8746;0002FillPercent:013.28;0002KineticInconsistentLower:0;0002KineticInconsistentMetadata:-385.166217351906|2.06;0002MeanDecodingIntensity:1653.15;0002MeanDecodingIntensity_488:1653.15;0002MeanDecodingIntensity_647:35.05;0002MeanDecodingIntensity_700:30.25;0002MeanDecodingIntensity_750:34.81;0002ReflectiveIntensity:13361.56;0002ReflectiveIntensityStdDev:637.363;0002SealTimeEstimate:26.1;0021_DecodingIntensityStdDev_577F1:69.290;0021_DecodingIntensityStdDev_577F2:138.450;0021_MeanDecodingIntensity_577F1:483.69;0021_MeanDecodingIntensity_577F2:595.58;0021AEB:-;0021DecodingIntensityStdDev:86.228;0021DecodingIntensityStdDev_488:20.694;0021DecodingIntensityStdDev_647:86.228;0021DecodingIntensityStdDev_700:9.734;0021DecodingIntensityStdDev_750:5.974;0021F_on:0.9154;0021FillPercent:007.80;0021KineticInconsistentLower:0;0021KineticInconsistentMetadata:-396.999710582355|2.1;0021MeanDecodingIntensity:438.84;0021MeanDecodingIntensity_488:141.17;0021MeanDecodingIntensity_647:438.84;0021MeanDecodingIntensity_700:71.01;0021MeanDecodingIntensity_750:34.89;0021ReflectiveIntensity:13118.32;0021ReflectiveIntensityStdDev:542.997;0021SealTimeEstimate:25.1;0201_DecodingIntensityStdDev_577F1:67.804;0201_DecodingIntensityStdDev_577F2:131.602;0201_MeanDecodingIntensity_577F1:481.20;0201_MeanDecodingIntensity_577F2:589.60;0201AEB:-;0201DecodingIntensityStdDev:108.831;0201DecodingIntensityStdDev_488:22.008;0201DecodingIntensityStdDev_647:16.024;0201DecodingIntensityStdDev_700:108.831;0201DecodingIntensityStdDev_750:10.117;0201F_on:0.9073;0201FillPercent:008.79;0201KineticInconsistentLower:0;0201KineticInconsistentMetadata:-382.94297529355|2.07;0201MeanDecodingIntensity:526.57;0201MeanDecodingIntensity_488:141.80;0201MeanDecodingIntensity_647:98.62;0201MeanDecodingIntensity_700:526.57;0201MeanDecodingIntensity_750:65.36;0201ReflectiveIntensity:13136.27;0201ReflectiveIntensityStdDev:562.114;0201SealTimeEstimate:25.9;2001_DecodingIntensityStdDev_577F1:71.465;2001_DecodingIntensityStdDev_577F2:137.937;2001_MeanDecodingIntensity_577F1:513.21;2001_MeanDecodingIntensity_577F2:622.24;2001AEB:-;2001DecodingIntensityStdDev:215.991;2001DecodingIntensityStdDev_488:22.405;2001DecodingIntensityStdDev_647:5.224;2001DecodingIntensityStdDev_700:5.178;2001DecodingIntensityStdDev_750:215.991;2001F_on:0.9039;2001FillPercent:008.37;2001KineticInconsistentLower:0;2001KineticInconsistentMetadata:-405.381507347914|2.05;2001MeanDecodingIntensity:1009.75;2001MeanDecodingIntensity_488:142.49;2001MeanDecodingIntensity_647:38.35;2001MeanDecodingIntensity_700:34.39;2001MeanDecodingIntensity_750:1009.75;2001ReflectiveIntensity:13141.78;2001ReflectiveIntensityStdDev:576.403;2001SealTimeEstimate:26.4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10.84;Empties488F1MeanIntensity:66.44;Empties577F1IntensityStdDev:30.79;Empties577F1MeanIntensity:363.63;Empties577F2IntensityStdDev:33.46;Empties577F2MeanIntensity:364.48;Empties647F1IntensityStdDev:4.22;Empties647F1MeanIntensity:31.58;Empties700F1IntensityStdDev:4.13;Empties700F1MeanIntensity:29.43;Empties750F1IntensityStdDev:5.01;Empties750F1MeanIntensity:33.67;EmptiesIGrowth:114.18;EmptiesReflectiveIntensityStdDev:356.01;EmptiesReflectiveMeanIntensity:11867.61;Errors:;F2minusF1Shift:-1.0;FluorescenceClassification:Normal;Focus_FracImageLost:0.00;FocusScoresAvg:3.29;FocusScoresImageCenter:4.06;FocusScoresMax:5.13;FocusScoresMedian:3.31;FractionImageDebris:0.0794;FractionWellsDebris:0.0902;ImageQualityScoreIfUnpegged:1.00;IndexingWellsMissingFromFov:0;IndexingWellsTotalLostBothVisibleAndMissing:0;IndexingWellsVisibleInFovButRemoved:0;L1DR time (ms):30889;NetBeadFillRate:26.87;NormalizedFillPercentage:038.25;Notes:Xtalk: usable out of spec wv 577 sr 4 dir 5 value 0.036.;NumberDecSaturated:0;NumberEmpties:73533;NumberFlagged_DeadPixels:76.0000;NumberFlagged_Debris:17380.0000;NumberFlagged_MissingNeighbor:2485.0000;NumberFlagged_NeighborSaturated:16.0000;NumberFlagged_OddlyRecurrentClassification:2185.0000;NumberFlagged_OutOfBounds:4061.0000;NumberFlagged_SaturatedPixelResorufinTwo:03.0000;NumberInvalidWells:23097;NumberPositiveEmpties:139;NumberPositives:68477;NumberResSaturated:3;NumberSaturatedWithoutDebris:0;NumberValidUnclassified:50439.00;NumberValidWells:169516;OddlyAggregatedFlag:2;OddlyAggregatedLocations:;OddlyAggregatedWorst:0;OffsetW488:( 0, 0 );OffsetW577:( 0, 0 );OffsetW647:( 0, 0 );OffsetW700:( 0, 0 );OffsetW750:( 0, 0 );ResorufinUnsaturated:0;ResorufinUnsaturatedMutated:0;ResorufinUnsaturaterNumberInFit:152;SaturatedDecodingWells:0;SuspiciousWells:26529;SuspiciousWellsFlagged:1;SuspiciousWellsLowerThreshold:4;Warnings:;WhiteLightChannelMedian:10001;XtalkSubregionsOutOfSpec:0</t>
  </si>
  <si>
    <t>0002_DecodingIntensityStdDev_577F1:63.115;0002_DecodingIntensityStdDev_577F2:135.528;0002_MeanDecodingIntensity_577F1:478.07;0002_MeanDecodingIntensity_577F2:583.38;0002AEB:-;0002DecodingIntensityStdDev:340.444;0002DecodingIntensityStdDev_488:340.444;0002DecodingIntensityStdDev_647:4.736;0002DecodingIntensityStdDev_700:4.678;0002DecodingIntensityStdDev_750:5.675;0002F_on:0.8733;0002FillPercent:013.34;0002KineticInconsistentLower:0;0002KineticInconsistentMetadata:-468.962137006934|2.25;0002MeanDecodingIntensity:1444.83;0002MeanDecodingIntensity_488:1444.83;0002MeanDecodingIntensity_647:34.20;0002MeanDecodingIntensity_700:29.81;0002MeanDecodingIntensity_750:34.27;0002ReflectiveIntensity:12973.09;0002ReflectiveIntensityStdDev:570.130;0002SealTimeEstimate:22.0;0021_DecodingIntensityStdDev_577F1:60.896;0021_DecodingIntensityStdDev_577F2:133.158;0021_MeanDecodingIntensity_577F1:477.68;0021_MeanDecodingIntensity_577F2:590.93;0021AEB:-;0021DecodingIntensityStdDev:88.265;0021DecodingIntensityStdDev_488:20.720;0021DecodingIntensityStdDev_647:88.265;0021DecodingIntensityStdDev_700:9.750;0021DecodingIntensityStdDev_750:5.785;0021F_on:0.9157;0021FillPercent:007.95;0021KineticInconsistentLower:0;0021KineticInconsistentMetadata:-475.689758919275|2.28;0021MeanDecodingIntensity:400.20;0021MeanDecodingIntensity_488:127.16;0021MeanDecodingIntensity_647:400.20;0021MeanDecodingIntensity_700:65.55;0021MeanDecodingIntensity_750:34.23;0021ReflectiveIntensity:12751.24;0021ReflectiveIntensityStdDev:472.135;0021SealTimeEstimate:21.4;0201_DecodingIntensityStdDev_577F1:57.425;0201_DecodingIntensityStdDev_577F2:122.393;0201_MeanDecodingIntensity_577F1:475.22;0201_MeanDecodingIntensity_577F2:584.88;0201AEB:-;0201DecodingIntensityStdDev:109.621;0201DecodingIntensityStdDev_488:23.676;0201DecodingIntensityStdDev_647:17.313;0201DecodingIntensityStdDev_700:109.621;0201DecodingIntensityStdDev_750:9.837;0201F_on:0.9081;0201FillPercent:008.95;0201KineticInconsistentLower:0;0201KineticInconsistentMetadata:-461.966790146387|2.25;0201MeanDecodingIntensity:470.91;0201MeanDecodingIntensity_488:128.85;0201MeanDecodingIntensity_647:95.11;0201MeanDecodingIntensity_700:470.91;0201MeanDecodingIntensity_750:62.49;0201ReflectiveIntensity:12798.18;0201ReflectiveIntensityStdDev:498.721;0201SealTimeEstimate:22.0;2001_DecodingIntensityStdDev_577F1:55.174;2001_DecodingIntensityStdDev_577F2:112.659;2001_MeanDecodingIntensity_577F1:501.59;2001_MeanDecodingIntensity_577F2:609.17;2001AEB:-;2001DecodingIntensityStdDev:216.258;2001DecodingIntensityStdDev_488:22.121;2001DecodingIntensityStdDev_647:5.216;2001DecodingIntensityStdDev_700:5.357;2001DecodingIntensityStdDev_750:216.258;2001F_on:0.9040;2001FillPercent:008.60;2001KineticInconsistentLower:0;2001KineticInconsistentMetadata:-459.853068040083|2.18;2001MeanDecodingIntensity:908.69;2001MeanDecodingIntensity_488:128.46;2001MeanDecodingIntensity_647:37.16;2001MeanDecodingIntensity_700:33.65;2001MeanDecodingIntensity_750:908.69;2001ReflectiveIntensity:12797.37;2001ReflectiveIntensityStdDev:509.431;2001SealTimeEstimate:23.3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10.91;Empties488F1MeanIntensity:62.18;Empties577F1IntensityStdDev:23.97;Empties577F1MeanIntensity:380.93;Empties577F2IntensityStdDev:42.74;Empties577F2MeanIntensity:382.51;Empties647F1IntensityStdDev:4.26;Empties647F1MeanIntensity:31.15;Empties700F1IntensityStdDev:4.22;Empties700F1MeanIntensity:29.11;Empties750F1IntensityStdDev:4.99;Empties750F1MeanIntensity:33.16;EmptiesIGrowth:280.58;EmptiesReflectiveIntensityStdDev:278.58;EmptiesReflectiveMeanIntensity:11644.69;Errors:;F2minusF1Shift:-2.0;FluorescenceClassification:Normal;Focus_FracImageLost:0.01;FocusScoresAvg:3.09;FocusScoresImageCenter:4.72;FocusScoresMax:4.87;FocusScoresMedian:3.17;FractionImageDebris:0.1415;FractionWellsDebris:0.1547;ImageQualityScoreIfUnpegged:1.00;IndexingWellsMissingFromFov:0;IndexingWellsTotalLostBothVisibleAndMissing:0;IndexingWellsVisibleInFovButRemoved:0;L1DR time (ms):27876;NetBeadFillRate:27.27;NormalizedFillPercentage:038.84;Notes:;NumberDecSaturated:1;NumberEmpties:61287;NumberFlagged_DeadPixels:82.0000;NumberFlagged_Debris:29790.0000;NumberFlagged_MissingNeighbor:2809.0000;NumberFlagged_NeighborSaturated:06.0000;NumberFlagged_OddlyRecurrentClassification:30922.0000;NumberFlagged_OutOfBounds:4168.0000;NumberFlagged_OutOfFocus:1933.0000;NumberFlagged_SaturatedPixelDecodingFour:01.0000;NumberInvalidWells:49779;NumberPositiveEmpties:128;NumberPositives:77150;NumberResSaturated:0;NumberSaturatedWithoutDebris:1;NumberValidUnclassified:42542.00;NumberValidWells:142756;OddlyAggregatedFlag:2;OddlyAggregatedLocations:;OddlyAggregatedWorst:0;OffsetW488:( 1, -1 );OffsetW577:( 0, 0 );OffsetW647:( 0, 0 );OffsetW700:( 0, -1 );OffsetW750:( 0, -1 );ResorufinUnsaturated:0;ResorufinUnsaturatedMutated:0;ResorufinUnsaturaterNumberInFit:108;SaturatedDecodingWells:1;SuspiciousWells:24457;SuspiciousWellsFlagged:1;SuspiciousWellsLowerThreshold:4;Warnings:;WhiteLightChannelMedian:9858;XtalkSubregionsOutOfSpec:0</t>
  </si>
  <si>
    <t>contro</t>
  </si>
  <si>
    <t>Plate 1 - Well H3</t>
  </si>
  <si>
    <t>0002_DecodingIntensityStdDev_577F1:36.504;0002_DecodingIntensityStdDev_577F2:71.357;0002_MeanDecodingIntensity_577F1:424.08;0002_MeanDecodingIntensity_577F2:432.98;0002AEB:00.0283;0002DecodingIntensityStdDev:355.768;0002DecodingIntensityStdDev_488:355.768;0002DecodingIntensityStdDev_647:4.763;0002DecodingIntensityStdDev_700:4.777;0002DecodingIntensityStdDev_750:5.949;0002F_on:0.0279;0002FillPercent:013.57;0002KineticInconsistentLower:0;0002KineticInconsistentMetadata:-601.464337971699|2.5;0002MeanDecodingIntensity:1601.78;0002MeanDecodingIntensity_488:1601.78;0002MeanDecodingIntensity_647:34.54;0002MeanDecodingIntensity_700:30.24;0002MeanDecodingIntensity_750:34.96;0002ReflectiveIntensity:13243.44;0002ReflectiveIntensityStdDev:593.955;0002SealTimeEstimate:18.2;0021_DecodingIntensityStdDev_577F1:26.739;0021_DecodingIntensityStdDev_577F2:45.531;0021_MeanDecodingIntensity_577F1:415.92;0021_MeanDecodingIntensity_577F2:420.93;0021AEB:00.0106;0021DecodingIntensityStdDev:83.197;0021DecodingIntensityStdDev_488:19.969;0021DecodingIntensityStdDev_647:83.197;0021DecodingIntensityStdDev_700:9.701;0021DecodingIntensityStdDev_750:6.107;0021F_on:0.0105;0021FillPercent:008.51;0021KineticInconsistentLower:0;0021KineticInconsistentMetadata:-617.309920958364|2.56;0021MeanDecodingIntensity:426.59;0021MeanDecodingIntensity_488:135.88;0021MeanDecodingIntensity_647:426.59;0021MeanDecodingIntensity_700:68.67;0021MeanDecodingIntensity_750:34.81;0021ReflectiveIntensity:12978.92;0021ReflectiveIntensityStdDev:486.923;0021SealTimeEstimate:17.5;0201_DecodingIntensityStdDev_577F1:26.060;0201_DecodingIntensityStdDev_577F2:42.245;0201_MeanDecodingIntensity_577F1:414.71;0201_MeanDecodingIntensity_577F2:420.02;0201AEB:00.0124;0201DecodingIntensityStdDev:108.396;0201DecodingIntensityStdDev_488:22.245;0201DecodingIntensityStdDev_647:15.401;0201DecodingIntensityStdDev_700:108.396;0201DecodingIntensityStdDev_750:10.822;0201F_on:0.0123;0201FillPercent:009.67;0201KineticInconsistentLower:0;0201KineticInconsistentMetadata:-613.65938191308|2.53;0201MeanDecodingIntensity:504.47;0201MeanDecodingIntensity_488:137.10;0201MeanDecodingIntensity_647:97.45;0201MeanDecodingIntensity_700:504.47;0201MeanDecodingIntensity_750:64.11;0201ReflectiveIntensity:13013.38;0201ReflectiveIntensityStdDev:498.045;0201SealTimeEstimate:17.8;2001_DecodingIntensityStdDev_577F1:31.330;2001_DecodingIntensityStdDev_577F2:52.353;2001_MeanDecodingIntensity_577F1:445.02;2001_MeanDecodingIntensity_577F2:451.41;2001AEB:00.0154;2001DecodingIntensityStdDev:199.744;2001DecodingIntensityStdDev_488:21.721;2001DecodingIntensityStdDev_647:5.194;2001DecodingIntensityStdDev_700:5.332;2001DecodingIntensityStdDev_750:199.744;2001F_on:0.0153;2001FillPercent:009.35;2001KineticInconsistentLower:0;2001KineticInconsistentMetadata:-669.705880572342|2.57;2001MeanDecodingIntensity:932.53;2001MeanDecodingIntensity_488:137.54;2001MeanDecodingIntensity_647:37.59;2001MeanDecodingIntensity_700:34.06;2001MeanDecodingIntensity_750:932.53;2001ReflectiveIntensity:13014.87;2001ReflectiveIntensityStdDev:507.241;2001SealTimeEstimate:17.3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11.45;Empties488F1MeanIntensity:68.52;Empties577F1IntensityStdDev:19.29;Empties577F1MeanIntensity:387.45;Empties577F2IntensityStdDev:20.12;Empties577F2MeanIntensity:386.08;Empties647F1IntensityStdDev:4.22;Empties647F1MeanIntensity:31.41;Empties700F1IntensityStdDev:4.22;Empties700F1MeanIntensity:29.33;Empties750F1IntensityStdDev:5.10;Empties750F1MeanIntensity:33.65;EmptiesIGrowth:238.14;EmptiesReflectiveIntensityStdDev:300.70;EmptiesReflectiveMeanIntensity:11794.36;Errors:;F2minusF1Shift:-0.5;FluorescenceClassification:Normal;Focus_FracImageLost:0.00;FocusScoresAvg:3.19;FocusScoresImageCenter:4.57;FocusScoresMax:4.80;FocusScoresMedian:3.18;FractionImageDebris:0.0612;FractionWellsDebris:0.0714;ImageQualityScoreIfUnpegged:1.00;IndexingWellsMissingFromFov:0;IndexingWellsTotalLostBothVisibleAndMissing:0;IndexingWellsVisibleInFovButRemoved:0;L1DR time (ms):28877;NetBeadFillRate:28.86;NormalizedFillPercentage:041.10;Notes:;NumberDecSaturated:0;NumberEmpties:71857;NumberFlagged_DeadPixels:91.0000;NumberFlagged_Debris:13756.0000;NumberFlagged_MissingNeighbor:3138.0000;NumberFlagged_OutOfBounds:4117.0000;NumberInvalidWells:18855;NumberPositiveEmpties:9;NumberPositives:1767;NumberResSaturated:0;NumberSaturatedWithoutDebris:0;NumberValidUnclassified:51694.00;NumberValidWells:173682;OddlyAggregatedFlag:2;OddlyAggregatedLocations:;OddlyAggregatedWorst:0;OffsetW488:( 1, -1 );OffsetW577:( 0, 0 );OffsetW647:( 0, 0 );OffsetW700:( 0, 0 );OffsetW750:( 0, 0 );ResorufinUnsaturated:0;ResorufinUnsaturatedMutated:0;ResorufinUnsaturaterNumberInFit:11;SaturatedDecodingWells:0;SuspiciousWells:23591;SuspiciousWellsFlagged:1;SuspiciousWellsLowerThreshold:4;Warnings:;WhiteLightChannelMedian:9973;XtalkSubregionsOutOfSpec:0</t>
  </si>
  <si>
    <t>0002_DecodingIntensityStdDev_577F1:37.113;0002_DecodingIntensityStdDev_577F2:72.273;0002_MeanDecodingIntensity_577F1:417.09;0002_MeanDecodingIntensity_577F2:425.54;0002AEB:00.0314;0002DecodingIntensityStdDev:337.552;0002DecodingIntensityStdDev_488:337.552;0002DecodingIntensityStdDev_647:4.798;0002DecodingIntensityStdDev_700:4.844;0002DecodingIntensityStdDev_750:5.934;0002F_on:0.0309;0002FillPercent:014.02;0002KineticInconsistentLower:0;0002KineticInconsistentMetadata:-524.920744449861|2.35;0002MeanDecodingIntensity:1470.41;0002MeanDecodingIntensity_488:1470.41;0002MeanDecodingIntensity_647:34.21;0002MeanDecodingIntensity_700:30.05;0002MeanDecodingIntensity_750:34.58;0002ReflectiveIntensity:13054.75;0002ReflectiveIntensityStdDev:582.933;0002SealTimeEstimate:20.3;0021_DecodingIntensityStdDev_577F1:39.846;0021_DecodingIntensityStdDev_577F2:78.049;0021_MeanDecodingIntensity_577F1:409.54;0021_MeanDecodingIntensity_577F2:415.44;0021AEB:00.0145;0021DecodingIntensityStdDev:83.764;0021DecodingIntensityStdDev_488:21.303;0021DecodingIntensityStdDev_647:83.764;0021DecodingIntensityStdDev_700:9.935;0021DecodingIntensityStdDev_750:6.012;0021F_on:0.0144;0021FillPercent:008.64;0021KineticInconsistentLower:0;0021KineticInconsistentMetadata:-567.226778103245|2.44;0021MeanDecodingIntensity:405.29;0021MeanDecodingIntensity_488:127.67;0021MeanDecodingIntensity_647:405.29;0021MeanDecodingIntensity_700:66.42;0021MeanDecodingIntensity_750:34.61;0021ReflectiveIntensity:12823.12;0021ReflectiveIntensityStdDev:471.952;0021SealTimeEstimate:19.0;0201_DecodingIntensityStdDev_577F1:30.785;0201_DecodingIntensityStdDev_577F2:57.966;0201_MeanDecodingIntensity_577F1:408.30;0201_MeanDecodingIntensity_577F2:413.81;0201AEB:00.0144;0201DecodingIntensityStdDev:106.827;0201DecodingIntensityStdDev_488:23.447;0201DecodingIntensityStdDev_647:15.912;0201DecodingIntensityStdDev_700:106.827;0201DecodingIntensityStdDev_750:10.095;0201F_on:0.0143;0201FillPercent:009.66;0201KineticInconsistentLower:0;0201KineticInconsistentMetadata:-548.274804520829|2.42;0201MeanDecodingIntensity:475.43;0201MeanDecodingIntensity_488:129.39;0201MeanDecodingIntensity_647:95.50;0201MeanDecodingIntensity_700:475.43;0201MeanDecodingIntensity_750:62.90;0201ReflectiveIntensity:12843.37;0201ReflectiveIntensityStdDev:489.379;0201SealTimeEstimate:19.2;2001_DecodingIntensityStdDev_577F1:29.858;2001_DecodingIntensityStdDev_577F2:50.425;2001_MeanDecodingIntensity_577F1:437.66;2001_MeanDecodingIntensity_577F2:442.98;2001AEB:00.0151;2001DecodingIntensityStdDev:216.481;2001DecodingIntensityStdDev_488:23.645;2001DecodingIntensityStdDev_647:5.261;2001DecodingIntensityStdDev_700:5.442;2001DecodingIntensityStdDev_750:216.481;2001F_on:0.0150;2001FillPercent:009.24;2001KineticInconsistentLower:0;2001KineticInconsistentMetadata:-665.343359764762|2.56;2001MeanDecodingIntensity:923.12;2001MeanDecodingIntensity_488:129.77;2001MeanDecodingIntensity_647:37.23;2001MeanDecodingIntensity_700:33.82;2001MeanDecodingIntensity_750:923.12;2001ReflectiveIntensity:12855.55;2001ReflectiveIntensityStdDev:512.913;2001SealTimeEstimate:17.5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11.58;Empties488F1MeanIntensity:63.60;Empties577F1IntensityStdDev:18.60;Empties577F1MeanIntensity:384.57;Empties577F2IntensityStdDev:20.18;Empties577F2MeanIntensity:382.42;Empties647F1IntensityStdDev:4.39;Empties647F1MeanIntensity:31.20;Empties700F1IntensityStdDev:4.45;Empties700F1MeanIntensity:29.25;Empties750F1IntensityStdDev:5.24;Empties750F1MeanIntensity:33.40;EmptiesIGrowth:219.67;EmptiesReflectiveIntensityStdDev:289.36;EmptiesReflectiveMeanIntensity:11688.37;Errors:;F2minusF1Shift:0.1;FluorescenceClassification:Normal;Focus_FracImageLost:0.03;FocusScoresAvg:3.07;FocusScoresImageCenter:4.78;FocusScoresMax:4.90;FocusScoresMedian:3.26;FractionImageDebris:0.1287;FractionWellsDebris:0.1389;ImageQualityScoreIfUnpegged:1.00;IndexingWellsMissingFromFov:0;IndexingWellsTotalLostBothVisibleAndMissing:0;IndexingWellsVisibleInFovButRemoved:0;L1DR time (ms):26462;NetBeadFillRate:29.18;NormalizedFillPercentage:041.57;Notes:Xtalk: usable out of spec wv 700 sr 4 dir 5 value 0.036. | Xtalk: usable out of spec wv 700 sr 8 dir 5 value 0.038.;NumberDecSaturated:0;NumberEmpties:65060;NumberFlagged_DeadPixels:78.0000;NumberFlagged_Debris:26723.0000;NumberFlagged_MissingNeighbor:2672.0000;NumberFlagged_OddlyRecurrentClassification:855.0000;NumberFlagged_OutOfBounds:4038.0000;NumberFlagged_OutOfFocus:4918.0000;NumberInvalidWells:33784;NumberPositiveEmpties:16;NumberPositives:2205;NumberResSaturated:0;NumberSaturatedWithoutDebris:0;NumberValidUnclassified:47296.00;NumberValidWells:158641;OddlyAggregatedFlag:2;OddlyAggregatedLocations:;OddlyAggregatedWorst:0;OffsetW488:( 0, 0 );OffsetW577:( 0, 0 );OffsetW647:( 0, 0 );OffsetW700:( 0, 0 );OffsetW750:( 0, -1 );ResorufinUnsaturated:0;ResorufinUnsaturatedMutated:0;ResorufinUnsaturaterNumberInFit:14;SaturatedDecodingWells:0;SuspiciousWells:18174;SuspiciousWellsFlagged:1;SuspiciousWellsLowerThreshold:5;Warnings:;WhiteLightChannelMedian:9890;XtalkSubregionsOutOfSpec:0</t>
  </si>
  <si>
    <t>0002_DecodingIntensityStdDev_577F1:38.797;0002_DecodingIntensityStdDev_577F2:75.255;0002_MeanDecodingIntensity_577F1:412.65;0002_MeanDecodingIntensity_577F2:422.90;0002AEB:00.0335;0002DecodingIntensityStdDev:362.945;0002DecodingIntensityStdDev_488:362.945;0002DecodingIntensityStdDev_647:4.949;0002DecodingIntensityStdDev_700:4.816;0002DecodingIntensityStdDev_750:5.922;0002F_on:0.0329;0002FillPercent:013.39;0002KineticInconsistentLower:0;0002KineticInconsistentMetadata:-564.068575606904|2.45;0002MeanDecodingIntensity:1636.41;0002MeanDecodingIntensity_488:1636.41;0002MeanDecodingIntensity_647:34.83;0002MeanDecodingIntensity_700:30.28;0002MeanDecodingIntensity_750:34.89;0002ReflectiveIntensity:13454.18;0002ReflectiveIntensityStdDev:653.433;0002SealTimeEstimate:18.8;0021_DecodingIntensityStdDev_577F1:27.927;0021_DecodingIntensityStdDev_577F2:47.772;0021_MeanDecodingIntensity_577F1:404.03;0021_MeanDecodingIntensity_577F2:410.20;0021AEB:00.0144;0021DecodingIntensityStdDev:87.294;0021DecodingIntensityStdDev_488:21.652;0021DecodingIntensityStdDev_647:87.294;0021DecodingIntensityStdDev_700:10.087;0021DecodingIntensityStdDev_750:5.958;0021F_on:0.0142;0021FillPercent:008.14;0021KineticInconsistentLower:0;0021KineticInconsistentMetadata:-600.395421340792|2.54;0021MeanDecodingIntensity:441.83;0021MeanDecodingIntensity_488:136.96;0021MeanDecodingIntensity_647:441.83;0021MeanDecodingIntensity_700:69.98;0021MeanDecodingIntensity_750:34.81;0021ReflectiveIntensity:13193.10;0021ReflectiveIntensityStdDev:570.708;0021SealTimeEstimate:17.7;0201_DecodingIntensityStdDev_577F1:31.209;0201_DecodingIntensityStdDev_577F2:56.459;0201_MeanDecodingIntensity_577F1:403.38;0201_MeanDecodingIntensity_577F2:410.28;0201AEB:00.0164;0201DecodingIntensityStdDev:113.145;0201DecodingIntensityStdDev_488:23.375;0201DecodingIntensityStdDev_647:16.534;0201DecodingIntensityStdDev_700:113.145;0201DecodingIntensityStdDev_750:10.611;0201F_on:0.0163;0201FillPercent:009.19;0201KineticInconsistentLower:0;0201KineticInconsistentMetadata:-545.770826624214|2.43;0201MeanDecodingIntensity:517.53;0201MeanDecodingIntensity_488:138.67;0201MeanDecodingIntensity_647:100.56;0201MeanDecodingIntensity_700:517.53;0201MeanDecodingIntensity_750:65.38;0201ReflectiveIntensity:13228.69;0201ReflectiveIntensityStdDev:586.144;0201SealTimeEstimate:19.1;2001_DecodingIntensityStdDev_577F1:33.992;2001_DecodingIntensityStdDev_577F2:59.080;2001_MeanDecodingIntensity_577F1:434.72;2001_MeanDecodingIntensity_577F2:442.40;2001AEB:00.0184;2001DecodingIntensityStdDev:221.420;2001DecodingIntensityStdDev_488:23.174;2001DecodingIntensityStdDev_647:5.353;2001DecodingIntensityStdDev_700:5.492;2001DecodingIntensityStdDev_750:221.420;2001F_on:0.0182;2001FillPercent:008.77;2001KineticInconsistentLower:0;2001KineticInconsistentMetadata:-561.371356869141|2.38;2001MeanDecodingIntensity:978.46;2001MeanDecodingIntensity_488:138.08;2001MeanDecodingIntensity_647:38.04;2001MeanDecodingIntensity_700:34.41;2001MeanDecodingIntensity_750:978.46;2001ReflectiveIntensity:13229.48;2001ReflectiveIntensityStdDev:584.533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12.58;Empties488F1MeanIntensity:68.21;Empties577F1IntensityStdDev:25.49;Empties577F1MeanIntensity:371.19;Empties577F2IntensityStdDev:25.79;Empties577F2MeanIntensity:370.32;Empties647F1IntensityStdDev:4.53;Empties647F1MeanIntensity:31.62;Empties700F1IntensityStdDev:4.51;Empties700F1MeanIntensity:29.47;Empties750F1IntensityStdDev:5.43;Empties750F1MeanIntensity:33.91;EmptiesIGrowth:288.95;EmptiesReflectiveIntensityStdDev:375.28;EmptiesReflectiveMeanIntensity:11944.59;Errors:;F2minusF1Shift:-1.7;FluorescenceClassification:Normal;Focus_FracImageLost:0.00;FocusScoresAvg:3.33;FocusScoresImageCenter:4.79;FocusScoresMax:5.28;FocusScoresMedian:3.31;FractionImageDebris:0.0399;FractionWellsDebris:0.0463;ImageQualityScoreIfUnpegged:1.00;IndexingWellsMissingFromFov:0;IndexingWellsTotalLostBothVisibleAndMissing:0;IndexingWellsVisibleInFovButRemoved:0;L1DR time (ms):26647;NetBeadFillRate:27.74;NormalizedFillPercentage:039.49;Notes:;NumberDecSaturated:0;NumberEmpties:76155;NumberFlagged_DeadPixels:74.0000;NumberFlagged_Debris:8920.0000;NumberFlagged_MissingNeighbor:2403.0000;NumberFlagged_OutOfBounds:4094.0000;NumberInvalidWells:13356;NumberPositiveEmpties:6;NumberPositives:1962;NumberResSaturated:0;NumberSaturatedWithoutDebris:0;NumberValidUnclassified:53337.00;NumberValidWells:179193;OddlyAggregatedFlag:2;OddlyAggregatedLocations:;OddlyAggregatedWorst:0;OffsetW488:( 1, -1 );OffsetW577:( 0, 0 );OffsetW647:( 0, 0 );OffsetW700:( 0, -1 );OffsetW750:( 0, -1 );ResorufinUnsaturated:0;ResorufinUnsaturatedMutated:0;ResorufinUnsaturaterNumberInFit:9;SaturatedDecodingWells:0;SuspiciousWells:29354;SuspiciousWellsFlagged:1;SuspiciousWellsLowerThreshold:4;Warnings:;WhiteLightChannelMedian:10053;XtalkSubregionsOutOfSpec:0</t>
  </si>
  <si>
    <t>low-1-4-1</t>
  </si>
  <si>
    <t>Plate 1 - Well A5</t>
  </si>
  <si>
    <t>0002_DecodingIntensityStdDev_577F1:49.792;0002_DecodingIntensityStdDev_577F2:111.720;0002_MeanDecodingIntensity_577F1:418.13;0002_MeanDecodingIntensity_577F2:430.95;0002AEB:00.0408;0002DecodingIntensityStdDev:356.437;0002DecodingIntensityStdDev_488:356.437;0002DecodingIntensityStdDev_647:4.859;0002DecodingIntensityStdDev_700:4.801;0002DecodingIntensityStdDev_750:5.977;0002F_on:0.0400;0002FillPercent:013.73;0002KineticInconsistentLower:0;0002KineticInconsistentMetadata:-657.668410516092|2.67;0002MeanDecodingIntensity:1593.54;0002MeanDecodingIntensity_488:1593.54;0002MeanDecodingIntensity_647:34.83;0002MeanDecodingIntensity_700:30.18;0002MeanDecodingIntensity_750:34.89;0002ReflectiveIntensity:13253.12;0002ReflectiveIntensityStdDev:607.092;0002SealTimeEstimate:16.3;0021_DecodingIntensityStdDev_577F1:47.849;0021_DecodingIntensityStdDev_577F2:110.818;0021_MeanDecodingIntensity_577F1:412.72;0021_MeanDecodingIntensity_577F2:425.89;0021AEB:00.0374;0021DecodingIntensityStdDev:87.116;0021DecodingIntensityStdDev_488:22.356;0021DecodingIntensityStdDev_647:87.116;0021DecodingIntensityStdDev_700:10.037;0021DecodingIntensityStdDev_750:6.168;0021F_on:0.0367;0021FillPercent:008.27;0021KineticInconsistentLower:0;0021KineticInconsistentMetadata:-675.217250560531|2.72;0021MeanDecodingIntensity:425.69;0021MeanDecodingIntensity_488:141.05;0021MeanDecodingIntensity_647:425.69;0021MeanDecodingIntensity_700:68.47;0021MeanDecodingIntensity_750:34.97;0021ReflectiveIntensity:13023.41;0021ReflectiveIntensityStdDev:506.173;0021SealTimeEstimate:15.8;0201_DecodingIntensityStdDev_577F1:50.092;0201_DecodingIntensityStdDev_577F2:112.768;0201_MeanDecodingIntensity_577F1:413.07;0201_MeanDecodingIntensity_577F2:426.21;0201AEB:00.0386;0201DecodingIntensityStdDev:125.783;0201DecodingIntensityStdDev_488:31.151;0201DecodingIntensityStdDev_647:29.805;0201DecodingIntensityStdDev_700:125.783;0201DecodingIntensityStdDev_750:12.620;0201F_on:0.0379;0201FillPercent:009.74;0201KineticInconsistentLower:0;0201KineticInconsistentMetadata:-673.583711489746|2.71;0201MeanDecodingIntensity:501.55;0201MeanDecodingIntensity_488:144.83;0201MeanDecodingIntensity_647:101.04;0201MeanDecodingIntensity_700:501.55;0201MeanDecodingIntensity_750:64.91;0201ReflectiveIntensity:13105.02;0201ReflectiveIntensityStdDev:568.957;0201SealTimeEstimate:15.9;2001_DecodingIntensityStdDev_577F1:51.407;2001_DecodingIntensityStdDev_577F2:113.856;2001_MeanDecodingIntensity_577F1:443.39;2001_MeanDecodingIntensity_577F2:457.50;2001AEB:00.0398;2001DecodingIntensityStdDev:232.721;2001DecodingIntensityStdDev_488:28.914;2001DecodingIntensityStdDev_647:5.340;2001DecodingIntensityStdDev_700:5.833;2001DecodingIntensityStdDev_750:232.721;2001F_on:0.0390;2001FillPercent:009.15;2001KineticInconsistentLower:0;2001KineticInconsistentMetadata:-688.977584712559|2.65;2001MeanDecodingIntensity:953.09;2001MeanDecodingIntensity_488:143.31;2001MeanDecodingIntensity_647:38.06;2001MeanDecodingIntensity_700:34.37;2001MeanDecodingIntensity_750:953.09;2001ReflectiveIntensity:13089.76;2001ReflectiveIntensityStdDev:555.685;2001SealTimeEstimate:16.5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11.82;Empties488F1MeanIntensity:68.30;Empties577F1IntensityStdDev:19.32;Empties577F1MeanIntensity:380.25;Empties577F2IntensityStdDev:23.97;Empties577F2MeanIntensity:378.62;Empties647F1IntensityStdDev:4.21;Empties647F1MeanIntensity:31.48;Empties700F1IntensityStdDev:4.22;Empties700F1MeanIntensity:29.23;Empties750F1IntensityStdDev:5.01;Empties750F1MeanIntensity:33.55;EmptiesIGrowth:321.06;EmptiesReflectiveIntensityStdDev:323.95;EmptiesReflectiveMeanIntensity:11805.80;Errors:;F2minusF1Shift:-0.9;FluorescenceClassification:Normal;Focus_FracImageLost:0.00;FocusScoresAvg:3.62;FocusScoresImageCenter:4.75;FocusScoresMax:5.19;FocusScoresMedian:3.59;FractionImageDebris:0.1156;FractionWellsDebris:0.1150;ImageQualityScoreIfUnpegged:1.00;IndexingWellsMissingFromFov:0;IndexingWellsTotalLostBothVisibleAndMissing:0;IndexingWellsVisibleInFovButRemoved:0;L1DR time (ms):26805;NetBeadFillRate:28.72;NormalizedFillPercentage:040.89;Notes:Xtalk: usable out of spec wv 577 sr 8 dir 5 value 0.038. | Xtalk: usable out of spec wv 577 sr 9 dir 5 value 0.036.;NumberDecSaturated:1;NumberEmpties:68193;NumberFlagged_DeadPixels:77.0000;NumberFlagged_Debris:21935.0000;NumberFlagged_MissingNeighbor:6122.0000;NumberFlagged_NeighborSaturated:22.0000;NumberFlagged_OddlyRecurrentClassification:6258.0000;NumberFlagged_OutOfBounds:4251.0000;NumberFlagged_SaturatedPixelDecodingFour:01.0000;NumberFlagged_SaturatedPixelResorufinTwo:03.0000;NumberInvalidWells:26418;NumberPositiveEmpties:38;NumberPositives:3916;NumberResSaturated:3;NumberSaturatedWithoutDebris:1;NumberValidUnclassified:48895.00;NumberValidWells:164271;OddlyAggregatedFlag:2;OddlyAggregatedLocations:;OddlyAggregatedWorst:0;OffsetW488:( 1, 0 );OffsetW577:( 0, 0 );OffsetW647:( 0, 0 );OffsetW700:( 0, 0 );OffsetW750:( 0, -1 );ResorufinUnsaturated:0;ResorufinUnsaturatedMutated:0;ResorufinUnsaturaterNumberInFit:63;SaturatedDecodingWells:1;SuspiciousWells:23269;SuspiciousWellsFlagged:1;SuspiciousWellsLowerThreshold:5;Warnings:;WhiteLightChannelMedian:9820;XtalkSubregionsOutOfSpec:0</t>
  </si>
  <si>
    <t>0002_DecodingIntensityStdDev_577F1:56.556;0002_DecodingIntensityStdDev_577F2:122.987;0002_MeanDecodingIntensity_577F1:425.42;0002_MeanDecodingIntensity_577F2:439.71;0002AEB:00.0439;0002DecodingIntensityStdDev:337.190;0002DecodingIntensityStdDev_488:337.190;0002DecodingIntensityStdDev_647:4.724;0002DecodingIntensityStdDev_700:4.617;0002DecodingIntensityStdDev_750:5.891;0002F_on:0.0430;0002FillPercent:013.07;0002KineticInconsistentLower:0;0002KineticInconsistentMetadata:-645.958066908434|2.59;0002MeanDecodingIntensity:1640.63;0002MeanDecodingIntensity_488:1640.63;0002MeanDecodingIntensity_647:34.80;0002MeanDecodingIntensity_700:30.11;0002MeanDecodingIntensity_750:34.86;0002ReflectiveIntensity:13373.23;0002ReflectiveIntensityStdDev:614.883;0002SealTimeEstimate:17.1;0021_DecodingIntensityStdDev_577F1:50.850;0021_DecodingIntensityStdDev_577F2:113.940;0021_MeanDecodingIntensity_577F1:418.89;0021_MeanDecodingIntensity_577F2:432.18;0021AEB:00.0385;0021DecodingIntensityStdDev:82.841;0021DecodingIntensityStdDev_488:22.198;0021DecodingIntensityStdDev_647:82.841;0021DecodingIntensityStdDev_700:9.721;0021DecodingIntensityStdDev_750:6.207;0021F_on:0.0378;0021FillPercent:007.81;0021KineticInconsistentLower:0;0021KineticInconsistentMetadata:-665.084627893086|2.64;0021MeanDecodingIntensity:435.92;0021MeanDecodingIntensity_488:142.99;0021MeanDecodingIntensity_647:435.92;0021MeanDecodingIntensity_700:69.57;0021MeanDecodingIntensity_750:34.99;0021ReflectiveIntensity:13146.35;0021ReflectiveIntensityStdDev:524.519;0021SealTimeEstimate:16.6;0201_DecodingIntensityStdDev_577F1:58.229;0201_DecodingIntensityStdDev_577F2:128.047;0201_MeanDecodingIntensity_577F1:419.67;0201_MeanDecodingIntensity_577F2:434.17;0201AEB:00.0410;0201DecodingIntensityStdDev:125.141;0201DecodingIntensityStdDev_488:31.607;0201DecodingIntensityStdDev_647:35.752;0201DecodingIntensityStdDev_700:125.141;0201DecodingIntensityStdDev_750:11.768;0201F_on:0.0402;0201FillPercent:009.38;0201KineticInconsistentLower:0;0201KineticInconsistentMetadata:-636.096944909052|2.59;0201MeanDecodingIntensity:515.48;0201MeanDecodingIntensity_488:145.84;0201MeanDecodingIntensity_647:103.93;0201MeanDecodingIntensity_700:515.48;0201MeanDecodingIntensity_750:65.50;0201ReflectiveIntensity:13219.85;0201ReflectiveIntensityStdDev:573.130;0201SealTimeEstimate:17.1;2001_DecodingIntensityStdDev_577F1:57.636;2001_DecodingIntensityStdDev_577F2:126.842;2001_MeanDecodingIntensity_577F1:450.56;2001_MeanDecodingIntensity_577F2:465.78;2001AEB:00.0437;2001DecodingIntensityStdDev:247.285;2001DecodingIntensityStdDev_488:39.129;2001DecodingIntensityStdDev_647:6.422;2001DecodingIntensityStdDev_700:5.976;2001DecodingIntensityStdDev_750:247.285;2001F_on:0.0427;2001FillPercent:008.90;2001KineticInconsistentLower:0;2001KineticInconsistentMetadata:-680.049599928113|2.58;2001MeanDecodingIntensity:971.73;2001MeanDecodingIntensity_488:145.94;2001MeanDecodingIntensity_647:38.30;2001MeanDecodingIntensity_700:34.31;2001MeanDecodingIntensity_750:971.73;2001ReflectiveIntensity:13200.94;2001ReflectiveIntensityStdDev:568.898;2001SealTimeEstimate:17.2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11.00;Empties488F1MeanIntensity:67.21;Empties577F1IntensityStdDev:21.35;Empties577F1MeanIntensity:387.53;Empties577F2IntensityStdDev:31.14;Empties577F2MeanIntensity:385.65;Empties647F1IntensityStdDev:4.13;Empties647F1MeanIntensity:31.36;Empties700F1IntensityStdDev:4.05;Empties700F1MeanIntensity:29.19;Empties750F1IntensityStdDev:4.89;Empties750F1MeanIntensity:33.43;EmptiesIGrowth:496.16;EmptiesReflectiveIntensityStdDev:326.63;EmptiesReflectiveMeanIntensity:11885.75;Errors:;F2minusF1Shift:-0.3;FluorescenceClassification:Normal;Focus_FracImageLost:0.00;FocusScoresAvg:3.71;FocusScoresImageCenter:4.67;FocusScoresMax:4.97;FocusScoresMedian:3.73;FractionImageDebris:0.0606;FractionWellsDebris:0.0672;ImageQualityScoreIfUnpegged:1.00;IndexingWellsMissingFromFov:0;IndexingWellsTotalLostBothVisibleAndMissing:0;IndexingWellsVisibleInFovButRemoved:0;L1DR time (ms):28325;NetBeadFillRate:27.52;NormalizedFillPercentage:039.16;Notes:Xtalk: usable out of spec wv 577 sr 8 dir 5 value 0.038. | Xtalk: usable out of spec wv 577 sr 9 dir 5 value 0.038.;NumberDecSaturated:0;NumberEmpties:74879;NumberFlagged_DeadPixels:75.0000;NumberFlagged_Debris:12929.0000;NumberFlagged_MissingNeighbor:2416.0000;NumberFlagged_OutOfBounds:4214.0000;NumberInvalidWells:17291;NumberPositiveEmpties:50;NumberPositives:4029;NumberResSaturated:0;NumberSaturatedWithoutDebris:0;NumberValidUnclassified:52065.00;NumberValidWells:175134;OddlyAggregatedFlag:2;OddlyAggregatedLocations:;OddlyAggregatedWorst:0;OffsetW488:( 1, 0 );OffsetW577:( 0, 0 );OffsetW647:( 0, 0 );OffsetW700:( 0, -1 );OffsetW750:( 0, -1 );ResorufinUnsaturated:0;ResorufinUnsaturatedMutated:0;ResorufinUnsaturaterNumberInFit:92;SaturatedDecodingWells:0;SuspiciousWells:27395;SuspiciousWellsFlagged:1;SuspiciousWellsLowerThreshold:5;Warnings:;WhiteLightChannelMedian:9809;XtalkSubregionsOutOfSpec:0</t>
  </si>
  <si>
    <t>0002_DecodingIntensityStdDev_577F1:45.987;0002_DecodingIntensityStdDev_577F2:106.498;0002_MeanDecodingIntensity_577F1:414.72;0002_MeanDecodingIntensity_577F2:427.90;0002AEB:00.0469;0002DecodingIntensityStdDev:323.516;0002DecodingIntensityStdDev_488:323.516;0002DecodingIntensityStdDev_647:4.889;0002DecodingIntensityStdDev_700:4.836;0002DecodingIntensityStdDev_750:6.119;0002F_on:0.0458;0002FillPercent:013.57;0002KineticInconsistentLower:0;0002KineticInconsistentMetadata:-728.999083020285|2.82;0002MeanDecodingIntensity:1500.84;0002MeanDecodingIntensity_488:1500.84;0002MeanDecodingIntensity_647:34.62;0002MeanDecodingIntensity_700:30.08;0002MeanDecodingIntensity_750:34.81;0002ReflectiveIntensity:13347.48;0002ReflectiveIntensityStdDev:565.931;0002SealTimeEstimate:14.9;0021_DecodingIntensityStdDev_577F1:48.965;0021_DecodingIntensityStdDev_577F2:115.943;0021_MeanDecodingIntensity_577F1:409.88;0021_MeanDecodingIntensity_577F2:422.99;0021AEB:00.0414;0021DecodingIntensityStdDev:81.318;0021DecodingIntensityStdDev_488:21.091;0021DecodingIntensityStdDev_647:81.318;0021DecodingIntensityStdDev_700:9.715;0021DecodingIntensityStdDev_750:6.321;0021F_on:0.0405;0021FillPercent:007.98;0021KineticInconsistentLower:0;0021KineticInconsistentMetadata:-711.603629489465|2.79;0021MeanDecodingIntensity:407.79;0021MeanDecodingIntensity_488:136.55;0021MeanDecodingIntensity_647:407.79;0021MeanDecodingIntensity_700:66.79;0021MeanDecodingIntensity_750:35.01;0021ReflectiveIntensity:13137.58;0021ReflectiveIntensityStdDev:483.469;0021SealTimeEstimate:15.1;0201_DecodingIntensityStdDev_577F1:48.135;0201_DecodingIntensityStdDev_577F2:113.866;0201_MeanDecodingIntensity_577F1:409.62;0201_MeanDecodingIntensity_577F2:423.19;0201AEB:00.0463;0201DecodingIntensityStdDev:112.372;0201DecodingIntensityStdDev_488:25.398;0201DecodingIntensityStdDev_647:18.001;0201DecodingIntensityStdDev_700:112.372;0201DecodingIntensityStdDev_750:10.852;0201F_on:0.0452;0201FillPercent:009.31;0201KineticInconsistentLower:0;0201KineticInconsistentMetadata:-690.172629369928|2.77;0201MeanDecodingIntensity:477.87;0201MeanDecodingIntensity_488:139.22;0201MeanDecodingIntensity_647:95.72;0201MeanDecodingIntensity_700:477.87;0201MeanDecodingIntensity_750:63.79;0201ReflectiveIntensity:13198.47;0201ReflectiveIntensityStdDev:524.907;0201SealTimeEstimate:15.3;2001_DecodingIntensityStdDev_577F1:50.833;2001_DecodingIntensityStdDev_577F2:115.968;2001_MeanDecodingIntensity_577F1:439.94;2001_MeanDecodingIntensity_577F2:454.21;2001AEB:00.0489;2001DecodingIntensityStdDev:228.526;2001DecodingIntensityStdDev_488:24.241;2001DecodingIntensityStdDev_647:5.504;2001DecodingIntensityStdDev_700:5.946;2001DecodingIntensityStdDev_750:228.526;2001F_on:0.0477;2001FillPercent:008.78;2001KineticInconsistentLower:0;2001KineticInconsistentMetadata:-756.670628474816|2.79;2001MeanDecodingIntensity:938.28;2001MeanDecodingIntensity_488:138.69;2001MeanDecodingIntensity_647:37.80;2001MeanDecodingIntensity_700:34.26;2001MeanDecodingIntensity_750:938.28;2001ReflectiveIntensity:13192.85;2001ReflectiveIntensityStdDev:538.612;2001SealTimeEstimate:15.1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10.81;Empties488F1MeanIntensity:66.11;Empties577F1IntensityStdDev:19.29;Empties577F1MeanIntensity:377.83;Empties577F2IntensityStdDev:27.32;Empties577F2MeanIntensity:375.20;Empties647F1IntensityStdDev:4.16;Empties647F1MeanIntensity:31.38;Empties700F1IntensityStdDev:4.14;Empties700F1MeanIntensity:29.18;Empties750F1IntensityStdDev:4.99;Empties750F1MeanIntensity:33.47;EmptiesIGrowth:461.74;EmptiesReflectiveIntensityStdDev:310.07;EmptiesReflectiveMeanIntensity:11927.84;Errors:;F2minusF1Shift:0.7;FluorescenceClassification:Normal;Focus_FracImageLost:0.00;FocusScoresAvg:3.60;FocusScoresImageCenter:4.77;FocusScoresMax:4.96;FocusScoresMedian:3.63;FractionImageDebris:0.0435;FractionWellsDebris:0.0508;ImageQualityScoreIfUnpegged:1.00;IndexingWellsMissingFromFov:0;IndexingWellsTotalLostBothVisibleAndMissing:0;IndexingWellsVisibleInFovButRemoved:0;L1DR time (ms):28177;NetBeadFillRate:27.84;NormalizedFillPercentage:039.63;Notes:Xtalk: usable out of spec wv 577 sr 4 dir 5 value 0.036. | Xtalk: usable out of spec wv 577 sr 8 dir 5 value 0.048. | Xtalk: usable out of spec wv 577 sr 9 dir 5 value 0.038.;NumberDecSaturated:0;NumberEmpties:75460;NumberFlagged_DeadPixels:77.0000;NumberFlagged_Debris:9772.0000;NumberFlagged_MissingNeighbor:2398.0000;NumberFlagged_OutOfBounds:4318.0000;NumberInvalidWells:14428;NumberPositiveEmpties:32;NumberPositives:4325;NumberResSaturated:0;NumberSaturatedWithoutDebris:0;NumberValidUnclassified:52944.00;NumberValidWells:177946;OddlyAggregatedFlag:2;OddlyAggregatedLocations:;OddlyAggregatedWorst:0;OffsetW488:( 1, 0 );OffsetW577:( 0, 0 );OffsetW647:( 0, 0 );OffsetW700:( 0, 0 );OffsetW750:( 1, -1 );ResorufinUnsaturated:0;ResorufinUnsaturatedMutated:0;ResorufinUnsaturaterNumberInFit:53;SaturatedDecodingWells:1;SuspiciousWells:23144;SuspiciousWellsFlagged:1;SuspiciousWellsLowerThreshold:5;Warnings:;WhiteLightChannelMedian:9845;XtalkSubregionsOutOfSpec:0</t>
  </si>
  <si>
    <t>low-1-4-2</t>
  </si>
  <si>
    <t>Plate 1 - Well B5</t>
  </si>
  <si>
    <t>0002_DecodingIntensityStdDev_577F1:59.308;0002_DecodingIntensityStdDev_577F2:123.710;0002_MeanDecodingIntensity_577F1:422.63;0002_MeanDecodingIntensity_577F2:435.94;0002AEB:00.0499;0002DecodingIntensityStdDev:328.974;0002DecodingIntensityStdDev_488:328.974;0002DecodingIntensityStdDev_647:4.669;0002DecodingIntensityStdDev_700:4.396;0002DecodingIntensityStdDev_750:5.621;0002F_on:0.0486;0002FillPercent:011.91;0002KineticInconsistentLower:0;0002KineticInconsistentMetadata:-573.828897351779|2.42;0002MeanDecodingIntensity:1619.08;0002MeanDecodingIntensity_488:1619.08;0002MeanDecodingIntensity_647:34.85;0002MeanDecodingIntensity_700:29.94;0002MeanDecodingIntensity_750:34.56;0002ReflectiveIntensity:13432.40;0002ReflectiveIntensityStdDev:611.357;0002SealTimeEstimate:19.2;0021_DecodingIntensityStdDev_577F1:72.863;0021_DecodingIntensityStdDev_577F2:156.901;0021_MeanDecodingIntensity_577F1:419.91;0021_MeanDecodingIntensity_577F2:437.65;0021AEB:00.0603;0021DecodingIntensityStdDev:84.786;0021DecodingIntensityStdDev_488:20.113;0021DecodingIntensityStdDev_647:84.786;0021DecodingIntensityStdDev_700:9.825;0021DecodingIntensityStdDev_750:5.839;0021F_on:0.0585;0021FillPercent:007.04;0021KineticInconsistentLower:0;0021KineticInconsistentMetadata:-551.238722174121|2.4;0021MeanDecodingIntensity:444.73;0021MeanDecodingIntensity_488:142.45;0021MeanDecodingIntensity_647:444.73;0021MeanDecodingIntensity_700:70.70;0021MeanDecodingIntensity_750:34.81;0021ReflectiveIntensity:13202.33;0021ReflectiveIntensityStdDev:550.891;0021SealTimeEstimate:19.5;0201_DecodingIntensityStdDev_577F1:69.424;0201_DecodingIntensityStdDev_577F2:149.005;0201_MeanDecodingIntensity_577F1:418.99;0201_MeanDecodingIntensity_577F2:436.33;0201AEB:00.0623;0201DecodingIntensityStdDev:109.380;0201DecodingIntensityStdDev_488:24.253;0201DecodingIntensityStdDev_647:16.120;0201DecodingIntensityStdDev_700:109.380;0201DecodingIntensityStdDev_750:10.238;0201F_on:0.0604;0201FillPercent:008.27;0201KineticInconsistentLower:0;0201KineticInconsistentMetadata:-578.690052635581|2.45;0201MeanDecodingIntensity:517.38;0201MeanDecodingIntensity_488:144.89;0201MeanDecodingIntensity_647:100.12;0201MeanDecodingIntensity_700:517.38;0201MeanDecodingIntensity_750:65.22;0201ReflectiveIntensity:13240.27;0201ReflectiveIntensityStdDev:570.564;0201SealTimeEstimate:18.8;2001_DecodingIntensityStdDev_577F1:64.075;2001_DecodingIntensityStdDev_577F2:135.531;2001_MeanDecodingIntensity_577F1:450.32;2001_MeanDecodingIntensity_577F2:465.37;2001AEB:00.0567;2001DecodingIntensityStdDev:229.267;2001DecodingIntensityStdDev_488:23.184;2001DecodingIntensityStdDev_647:5.395;2001DecodingIntensityStdDev_700:5.484;2001DecodingIntensityStdDev_750:229.267;2001F_on:0.0551;2001FillPercent:007.77;2001KineticInconsistentLower:0;2001KineticInconsistentMetadata:-634.939398912774|2.47;2001MeanDecodingIntensity:1015.33;2001MeanDecodingIntensity_488:144.26;2001MeanDecodingIntensity_647:38.46;2001MeanDecodingIntensity_700:34.41;2001MeanDecodingIntensity_750:1015.33;2001ReflectiveIntensity:13233.09;2001ReflectiveIntensityStdDev:579.786;2001SealTimeEstimate:18.6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10.49;Empties488F1MeanIntensity:66.78;Empties577F1IntensityStdDev:21.40;Empties577F1MeanIntensity:379.82;Empties577F2IntensityStdDev:26.04;Empties577F2MeanIntensity:376.47;Empties647F1IntensityStdDev:4.13;Empties647F1MeanIntensity:31.39;Empties700F1IntensityStdDev:3.98;Empties700F1MeanIntensity:29.17;Empties750F1IntensityStdDev:4.80;Empties750F1MeanIntensity:33.39;EmptiesIGrowth:400.83;EmptiesReflectiveIntensityStdDev:368.26;EmptiesReflectiveMeanIntensity:11917.51;Errors:;F2minusF1Shift:2.0;FluorescenceClassification:Normal;Focus_FracImageLost:0.00;FocusScoresAvg:3.61;FocusScoresImageCenter:4.33;FocusScoresMax:4.87;FocusScoresMedian:3.61;FractionImageDebris:0.1148;FractionWellsDebris:0.0825;ImageQualityScoreIfUnpegged:1.00;IndexingWellsMissingFromFov:7260;IndexingWellsTotalLostBothVisibleAndMissing:9320;IndexingWellsVisibleInFovButRemoved:2060;L1DR time (ms):27451;NetBeadFillRate:24.58;NormalizedFillPercentage:034.98;Notes:Indexing: stripe across bottom | Xtalk: usable out of spec wv 577 sr 8 dir 5 value 0.038.;NumberDecSaturated:0;NumberEmpties:74991;NumberFlagged_DeadPixels:74.0000;NumberFlagged_Debris:15105.0000;NumberFlagged_MissingNeighbor:2782.0000;NumberFlagged_OutOfBounds:3114.0000;NumberInvalidWells:18859;NumberPositiveEmpties:30;NumberPositives:4812;NumberResSaturated:0;NumberSaturatedWithoutDebris:0;NumberValidUnclassified:48804.00;NumberValidWells:164147;OddlyAggregatedFlag:2;OddlyAggregatedLocations:;OddlyAggregatedWorst:0;OffsetW488:( 0, 0 );OffsetW577:( 0, 0 );OffsetW647:( 0, 0 );OffsetW700:( 0, 0 );OffsetW750:( 1, 0 );ResorufinUnsaturated:0;ResorufinUnsaturatedMutated:0;ResorufinUnsaturaterNumberInFit:153;SaturatedDecodingWells:0;SuspiciousWells:23409;SuspiciousWellsFlagged:1;SuspiciousWellsLowerThreshold:5;Warnings:;WhiteLightChannelMedian:9695;XtalkSubregionsOutOfSpec:0</t>
  </si>
  <si>
    <t>0002_DecodingIntensityStdDev_577F1:55.328;0002_DecodingIntensityStdDev_577F2:130.909;0002_MeanDecodingIntensity_577F1:424.97;0002_MeanDecodingIntensity_577F2:438.70;0002AEB:00.0529;0002DecodingIntensityStdDev:349.873;0002DecodingIntensityStdDev_488:349.873;0002DecodingIntensityStdDev_647:4.796;0002DecodingIntensityStdDev_700:4.735;0002DecodingIntensityStdDev_750:5.974;0002F_on:0.0515;0002FillPercent:013.25;0002KineticInconsistentLower:0;0002KineticInconsistentMetadata:-817.82686044043|3;0002MeanDecodingIntensity:1567.53;0002MeanDecodingIntensity_488:1567.53;0002MeanDecodingIntensity_647:34.70;0002MeanDecodingIntensity_700:30.12;0002MeanDecodingIntensity_750:34.70;0002ReflectiveIntensity:13270.29;0002ReflectiveIntensityStdDev:633.466;0002SealTimeEstimate:13.5;0021_DecodingIntensityStdDev_577F1:55.572;0021_DecodingIntensityStdDev_577F2:143.633;0021_MeanDecodingIntensity_577F1:418.99;0021_MeanDecodingIntensity_577F2:433.99;0021AEB:00.0509;0021DecodingIntensityStdDev:79.631;0021DecodingIntensityStdDev_488:20.565;0021DecodingIntensityStdDev_647:79.631;0021DecodingIntensityStdDev_700:9.620;0021DecodingIntensityStdDev_750:6.186;0021F_on:0.0496;0021FillPercent:007.78;0021KineticInconsistentLower:0;0021KineticInconsistentMetadata:-802.365839496364|2.99;0021MeanDecodingIntensity:415.09;0021MeanDecodingIntensity_488:139.08;0021MeanDecodingIntensity_647:415.09;0021MeanDecodingIntensity_700:67.86;0021MeanDecodingIntensity_750:34.83;0021ReflectiveIntensity:13032.33;0021ReflectiveIntensityStdDev:547.476;0021SealTimeEstimate:13.6;0201_DecodingIntensityStdDev_577F1:47.253;0201_DecodingIntensityStdDev_577F2:118.792;0201_MeanDecodingIntensity_577F1:417.82;0201_MeanDecodingIntensity_577F2:431.14;0201AEB:00.0494;0201DecodingIntensityStdDev:112.814;0201DecodingIntensityStdDev_488:24.874;0201DecodingIntensityStdDev_647:16.254;0201DecodingIntensityStdDev_700:112.814;0201DecodingIntensityStdDev_750:10.788;0201F_on:0.0482;0201FillPercent:008.98;0201KineticInconsistentLower:0;0201KineticInconsistentMetadata:-799.029292992469|2.99;0201MeanDecodingIntensity:494.80;0201MeanDecodingIntensity_488:141.38;0201MeanDecodingIntensity_647:96.68;0201MeanDecodingIntensity_700:494.80;0201MeanDecodingIntensity_750:64.03;0201ReflectiveIntensity:13086.08;0201ReflectiveIntensityStdDev:590.507;0201SealTimeEstimate:13.6;2001_DecodingIntensityStdDev_577F1:54.098;2001_DecodingIntensityStdDev_577F2:133.721;2001_MeanDecodingIntensity_577F1:448.76;2001_MeanDecodingIntensity_577F2:463.68;2001AEB:00.0553;2001DecodingIntensityStdDev:207.571;2001DecodingIntensityStdDev_488:23.464;2001DecodingIntensityStdDev_647:5.348;2001DecodingIntensityStdDev_700:5.541;2001DecodingIntensityStdDev_750:207.571;2001F_on:0.0538;2001FillPercent:008.59;2001KineticInconsistentLower:0;2001KineticInconsistentMetadata:-829.955673298359|2.94;2001MeanDecodingIntensity:935.32;2001MeanDecodingIntensity_488:140.67;2001MeanDecodingIntensity_647:37.92;2001MeanDecodingIntensity_700:34.15;2001MeanDecodingIntensity_750:935.32;2001ReflectiveIntensity:13069.35;2001ReflectiveIntensityStdDev:583.518;2001SealTimeEstimate:13.9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10.59;Empties488F1MeanIntensity:69.04;Empties577F1IntensityStdDev:19.24;Empties577F1MeanIntensity:386.48;Empties577F2IntensityStdDev:28.03;Empties577F2MeanIntensity:381.90;Empties647F1IntensityStdDev:4.13;Empties647F1MeanIntensity:31.41;Empties700F1IntensityStdDev:4.04;Empties700F1MeanIntensity:29.21;Empties750F1IntensityStdDev:4.81;Empties750F1MeanIntensity:33.33;EmptiesIGrowth:452.77;EmptiesReflectiveIntensityStdDev:371.87;EmptiesReflectiveMeanIntensity:11867.31;Errors:;F2minusF1Shift:1.5;FluorescenceClassification:Normal;Focus_FracImageLost:0.00;FocusScoresAvg:3.77;FocusScoresImageCenter:4.40;FocusScoresMax:5.04;FocusScoresMedian:3.74;FractionImageDebris:0.1286;FractionWellsDebris:0.1055;ImageQualityScoreIfUnpegged:1.00;IndexingWellsMissingFromFov:5534;IndexingWellsTotalLostBothVisibleAndMissing:7456;IndexingWellsVisibleInFovButRemoved:1922;L1DR time (ms):26527;NetBeadFillRate:27.12;NormalizedFillPercentage:038.60;Notes:Indexing: stripe across bottom | Xtalk: usable out of spec wv 577 sr 4 dir 5 value 0.036. | Xtalk: usable out of spec wv 577 sr 8 dir 5 value 0.041. | Xtalk: usable out of spec wv 577 sr 9 dir 5 value 0.041.;NumberDecSaturated:0;NumberEmpties:69953;NumberFlagged_DeadPixels:73.0000;NumberFlagged_Debris:19510.0000;NumberFlagged_MissingNeighbor:2492.0000;NumberFlagged_OddlyRecurrentClassification:486.0000;NumberFlagged_OutOfBounds:3125.0000;NumberInvalidWells:22669;NumberPositiveEmpties:56;NumberPositives:4673;NumberResSaturated:0;NumberSaturatedWithoutDebris:0;NumberValidUnclassified:48262.00;NumberValidWells:162197;OddlyAggregatedFlag:2;OddlyAggregatedLocations:;OddlyAggregatedWorst:0;OffsetW488:( 0, 0 );OffsetW577:( 0, 0 );OffsetW647:( 0, 0 );OffsetW700:( 0, 0 );OffsetW750:( 1, 0 );ResorufinUnsaturated:0;ResorufinUnsaturatedMutated:0;ResorufinUnsaturaterNumberInFit:64;SaturatedDecodingWells:0;SuspiciousWells:28362;SuspiciousWellsFlagged:1;SuspiciousWellsLowerThreshold:4;Warnings:;WhiteLightChannelMedian:9651;XtalkSubregionsOutOfSpec:0</t>
  </si>
  <si>
    <t>0002_DecodingIntensityStdDev_577F1:60.781;0002_DecodingIntensityStdDev_577F2:129.079;0002_MeanDecodingIntensity_577F1:418.25;0002_MeanDecodingIntensity_577F2:431.39;0002AEB:00.0493;0002DecodingIntensityStdDev:312.111;0002DecodingIntensityStdDev_488:312.111;0002DecodingIntensityStdDev_647:4.707;0002DecodingIntensityStdDev_700:4.604;0002DecodingIntensityStdDev_750:5.628;0002F_on:0.0481;0002FillPercent:012.20;0002KineticInconsistentLower:0;0002KineticInconsistentMetadata:-615.374323401685|2.54;0002MeanDecodingIntensity:1500.10;0002MeanDecodingIntensity_488:1500.10;0002MeanDecodingIntensity_647:34.35;0002MeanDecodingIntensity_700:29.81;0002MeanDecodingIntensity_750:34.35;0002ReflectiveIntensity:13178.07;0002ReflectiveIntensityStdDev:582.903;0002SealTimeEstimate:17.7;0021_DecodingIntensityStdDev_577F1:57.323;0021_DecodingIntensityStdDev_577F2:126.598;0021_MeanDecodingIntensity_577F1:413.84;0021_MeanDecodingIntensity_577F2:428.74;0021AEB:00.0545;0021DecodingIntensityStdDev:77.481;0021DecodingIntensityStdDev_488:20.887;0021DecodingIntensityStdDev_647:77.481;0021DecodingIntensityStdDev_700:9.325;0021DecodingIntensityStdDev_750:5.821;0021F_on:0.0531;0021FillPercent:007.01;0021KineticInconsistentLower:0;0021KineticInconsistentMetadata:-590.268907837022|2.5;0021MeanDecodingIntensity:407.75;0021MeanDecodingIntensity_488:133.75;0021MeanDecodingIntensity_647:407.75;0021MeanDecodingIntensity_700:66.59;0021MeanDecodingIntensity_750:34.42;0021ReflectiveIntensity:12972.12;0021ReflectiveIntensityStdDev:495.682;0021SealTimeEstimate:18.2;0201_DecodingIntensityStdDev_577F1:54.145;0201_DecodingIntensityStdDev_577F2:116.645;0201_MeanDecodingIntensity_577F1:412.36;0201_MeanDecodingIntensity_577F2:425.83;0201AEB:00.0491;0201DecodingIntensityStdDev:106.408;0201DecodingIntensityStdDev_488:25.955;0201DecodingIntensityStdDev_647:16.200;0201DecodingIntensityStdDev_700:106.408;0201DecodingIntensityStdDev_750:10.281;0201F_on:0.0479;0201FillPercent:008.22;0201KineticInconsistentLower:0;0201KineticInconsistentMetadata:-602.330889175929|2.52;0201MeanDecodingIntensity:474.95;0201MeanDecodingIntensity_488:136.55;0201MeanDecodingIntensity_647:95.47;0201MeanDecodingIntensity_700:474.95;0201MeanDecodingIntensity_750:62.98;0201ReflectiveIntensity:13016.50;0201ReflectiveIntensityStdDev:524.216;0201SealTimeEstimate:17.9;2001_DecodingIntensityStdDev_577F1:54.975;2001_DecodingIntensityStdDev_577F2:116.786;2001_MeanDecodingIntensity_577F1:441.69;2001_MeanDecodingIntensity_577F2:455.47;2001AEB:00.0505;2001DecodingIntensityStdDev:211.732;2001DecodingIntensityStdDev_488:23.714;2001DecodingIntensityStdDev_647:5.365;2001DecodingIntensityStdDev_700:5.770;2001DecodingIntensityStdDev_750:211.732;2001F_on:0.0492;2001FillPercent:007.99;2001KineticInconsistentLower:0;2001KineticInconsistentMetadata:-648.776911810865|2.54;2001MeanDecodingIntensity:921.23;2001MeanDecodingIntensity_488:135.66;2001MeanDecodingIntensity_647:37.39;2001MeanDecodingIntensity_700:34.00;2001MeanDecodingIntensity_750:921.23;2001ReflectiveIntensity:13009.19;2001ReflectiveIntensityStdDev:525.151;2001SealTimeEstimate:17.7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11.45;Empties488F1MeanIntensity:65.23;Empties577F1IntensityStdDev:21.25;Empties577F1MeanIntensity:382.37;Empties577F2IntensityStdDev:30.11;Empties577F2MeanIntensity:379.11;Empties647F1IntensityStdDev:4.12;Empties647F1MeanIntensity:31.25;Empties700F1IntensityStdDev:4.06;Empties700F1MeanIntensity:29.06;Empties750F1IntensityStdDev:4.80;Empties750F1MeanIntensity:33.25;EmptiesIGrowth:516.13;EmptiesReflectiveIntensityStdDev:338.36;EmptiesReflectiveMeanIntensity:11829.00;Errors:;F2minusF1Shift:1.3;FluorescenceClassification:Normal;Focus_FracImageLost:0.00;FocusScoresAvg:3.51;FocusScoresImageCenter:4.43;FocusScoresMax:5.20;FocusScoresMedian:3.51;FractionImageDebris:0.1480;FractionWellsDebris:0.1610;ImageQualityScoreIfUnpegged:1.00;IndexingWellsMissingFromFov:0;IndexingWellsTotalLostBothVisibleAndMissing:0;IndexingWellsVisibleInFovButRemoved:0;L1DR time (ms):27440;NetBeadFillRate:24.89;NormalizedFillPercentage:035.42;Notes:Xtalk: usable out of spec wv 577 sr 8 dir 5 value 0.048. | Xtalk: usable out of spec wv 577 sr 9 dir 5 value 0.038. | Xtalk: usable out of spec wv 700 sr 8 dir 5 value 0.036.;NumberDecSaturated:0;NumberEmpties:70843;NumberFlagged_DeadPixels:85.0000;NumberFlagged_Debris:30843.0000;NumberFlagged_MissingNeighbor:3753.0000;NumberFlagged_NeighborSaturated:12.0000;NumberFlagged_OddlyRecurrentClassification:107.0000;NumberFlagged_OutOfBounds:3726.0000;NumberFlagged_SaturatedPixelResorufinTwo:02.0000;NumberInvalidWells:35507;NumberPositiveEmpties:38;NumberPositives:4628;NumberResSaturated:2;NumberSaturatedWithoutDebris:2;NumberValidUnclassified:46409.00;NumberValidWells:156102;OddlyAggregatedFlag:2;OddlyAggregatedLocations:;OddlyAggregatedWorst:0;OffsetW488:( 1, 0 );OffsetW577:( 0, 0 );OffsetW647:( 0, 0 );OffsetW700:( 0, 0 );OffsetW750:( 1, -1 );ResorufinUnsaturated:0;ResorufinUnsaturatedMutated:0;ResorufinUnsaturaterNumberInFit:89;SaturatedDecodingWells:0;SuspiciousWells:27313;SuspiciousWellsFlagged:1;SuspiciousWellsLowerThreshold:4;Warnings:;WhiteLightChannelMedian:9691;XtalkSubregionsOutOfSpec:0</t>
  </si>
  <si>
    <t>low-1-4-3</t>
  </si>
  <si>
    <t>Plate 1 - Well C5</t>
  </si>
  <si>
    <t>0002_DecodingIntensityStdDev_577F1:45.853;0002_DecodingIntensityStdDev_577F2:93.940;0002_MeanDecodingIntensity_577F1:419.95;0002_MeanDecodingIntensity_577F2:429.98;0002AEB:00.0390;0002DecodingIntensityStdDev:316.764;0002DecodingIntensityStdDev_488:316.764;0002DecodingIntensityStdDev_647:4.766;0002DecodingIntensityStdDev_700:4.507;0002DecodingIntensityStdDev_750:5.599;0002F_on:0.0383;0002FillPercent:012.78;0002KineticInconsistentLower:0;0002KineticInconsistentMetadata:-562.035344724749|2.41;0002MeanDecodingIntensity:1599.93;0002MeanDecodingIntensity_488:1599.93;0002MeanDecodingIntensity_647:34.72;0002MeanDecodingIntensity_700:29.93;0002MeanDecodingIntensity_750:34.57;0002ReflectiveIntensity:13281.02;0002ReflectiveIntensityStdDev:581.501;0002SealTimeEstimate:19.4;0021_DecodingIntensityStdDev_577F1:52.990;0021_DecodingIntensityStdDev_577F2:112.484;0021_MeanDecodingIntensity_577F1:414.47;0021_MeanDecodingIntensity_577F2:424.59;0021AEB:00.0344;0021DecodingIntensityStdDev:78.381;0021DecodingIntensityStdDev_488:20.139;0021DecodingIntensityStdDev_647:78.381;0021DecodingIntensityStdDev_700:9.202;0021DecodingIntensityStdDev_750:5.799;0021F_on:0.0338;0021FillPercent:007.57;0021KineticInconsistentLower:0;0021KineticInconsistentMetadata:-571.235898957481|2.43;0021MeanDecodingIntensity:429.77;0021MeanDecodingIntensity_488:137.91;0021MeanDecodingIntensity_647:429.77;0021MeanDecodingIntensity_700:68.69;0021MeanDecodingIntensity_750:34.76;0021ReflectiveIntensity:13053.30;0021ReflectiveIntensityStdDev:506.440;0021SealTimeEstimate:19.1;0201_DecodingIntensityStdDev_577F1:53.324;0201_DecodingIntensityStdDev_577F2:111.437;0201_MeanDecodingIntensity_577F1:413.73;0201_MeanDecodingIntensity_577F2:424.07;0201AEB:00.0371;0201DecodingIntensityStdDev:100.610;0201DecodingIntensityStdDev_488:23.176;0201DecodingIntensityStdDev_647:17.631;0201DecodingIntensityStdDev_700:100.610;0201DecodingIntensityStdDev_750:9.785;0201F_on:0.0364;0201FillPercent:008.75;0201KineticInconsistentLower:0;0201KineticInconsistentMetadata:-566.805455769648|2.43;0201MeanDecodingIntensity:504.35;0201MeanDecodingIntensity_488:140.15;0201MeanDecodingIntensity_647:99.71;0201MeanDecodingIntensity_700:504.35;0201MeanDecodingIntensity_750:64.53;0201ReflectiveIntensity:13093.38;0201ReflectiveIntensityStdDev:518.485;0201SealTimeEstimate:19.1;2001_DecodingIntensityStdDev_577F1:54.318;2001_DecodingIntensityStdDev_577F2:113.113;2001_MeanDecodingIntensity_577F1:444.89;2001_MeanDecodingIntensity_577F2:455.73;2001AEB:00.0396;2001DecodingIntensityStdDev:204.743;2001DecodingIntensityStdDev_488:23.234;2001DecodingIntensityStdDev_647:5.282;2001DecodingIntensityStdDev_700:5.418;2001DecodingIntensityStdDev_750:204.743;2001F_on:0.0388;2001FillPercent:008.27;2001KineticInconsistentLower:0;2001KineticInconsistentMetadata:-613.303361894993|2.43;2001MeanDecodingIntensity:946.22;2001MeanDecodingIntensity_488:140.11;2001MeanDecodingIntensity_647:37.88;2001MeanDecodingIntensity_700:34.10;2001MeanDecodingIntensity_750:946.22;2001ReflectiveIntensity:13086.28;2001ReflectiveIntensityStdDev:524.447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10.80;Empties488F1MeanIntensity:67.72;Empties577F1IntensityStdDev:19.88;Empties577F1MeanIntensity:382.96;Empties577F2IntensityStdDev:27.53;Empties577F2MeanIntensity:379.80;Empties647F1IntensityStdDev:4.17;Empties647F1MeanIntensity:31.46;Empties700F1IntensityStdDev:4.04;Empties700F1MeanIntensity:29.19;Empties750F1IntensityStdDev:4.86;Empties750F1MeanIntensity:33.47;EmptiesIGrowth:523.65;EmptiesReflectiveIntensityStdDev:341.01;EmptiesReflectiveMeanIntensity:11862.86;Errors:;F2minusF1Shift:1.7;FluorescenceClassification:Normal;Focus_FracImageLost:0.00;FocusScoresAvg:3.57;FocusScoresImageCenter:4.45;FocusScoresMax:5.24;FocusScoresMedian:3.57;FractionImageDebris:0.1450;FractionWellsDebris:0.1571;ImageQualityScoreIfUnpegged:1.00;IndexingWellsMissingFromFov:0;IndexingWellsTotalLostBothVisibleAndMissing:0;IndexingWellsVisibleInFovButRemoved:0;L1DR time (ms):26502;NetBeadFillRate:26.26;NormalizedFillPercentage:037.37;Notes:Xtalk: usable out of spec wv 577 sr 8 dir 5 value 0.043.;NumberDecSaturated:0;NumberEmpties:69286;NumberFlagged_DeadPixels:65.0000;NumberFlagged_Debris:30108.0000;NumberFlagged_MissingNeighbor:2746.0000;NumberFlagged_NeighborSaturated:06.0000;NumberFlagged_OddlyRecurrentClassification:2030.0000;NumberFlagged_OutOfBounds:3532.0000;NumberFlagged_SaturatedPixelResorufinTwo:01.0000;NumberInvalidWells:34200;NumberPositiveEmpties:11;NumberPositives:3386;NumberResSaturated:1;NumberSaturatedWithoutDebris:1;NumberValidUnclassified:46840.00;NumberValidWells:157474;OddlyAggregatedFlag:2;OddlyAggregatedLocations:;OddlyAggregatedWorst:0;OffsetW488:( 1, 0 );OffsetW577:( 0, 0 );OffsetW647:( 0, 0 );OffsetW700:( 0, -1 );OffsetW750:( 1, -1 );ResorufinUnsaturated:0;ResorufinUnsaturatedMutated:0;ResorufinUnsaturaterNumberInFit:66;SaturatedDecodingWells:0;SuspiciousWells:26379;SuspiciousWellsFlagged:1;SuspiciousWellsLowerThreshold:4;Warnings:;WhiteLightChannelMedian:9718;XtalkSubregionsOutOfSpec:0</t>
  </si>
  <si>
    <t>0002_DecodingIntensityStdDev_577F1:46.908;0002_DecodingIntensityStdDev_577F2:93.543;0002_MeanDecodingIntensity_577F1:409.54;0002_MeanDecodingIntensity_577F2:419.79;0002AEB:00.0439;0002DecodingIntensityStdDev:322.836;0002DecodingIntensityStdDev_488:322.836;0002DecodingIntensityStdDev_647:4.735;0002DecodingIntensityStdDev_700:4.512;0002DecodingIntensityStdDev_750:5.567;0002F_on:0.0429;0002FillPercent:012.82;0002KineticInconsistentLower:0;0002KineticInconsistentMetadata:-507.355690122047|2.34;0002MeanDecodingIntensity:1634.34;0002MeanDecodingIntensity_488:1634.34;0002MeanDecodingIntensity_647:34.86;0002MeanDecodingIntensity_700:30.04;0002MeanDecodingIntensity_750:34.56;0002ReflectiveIntensity:13409.20;0002ReflectiveIntensityStdDev:618.594;0002SealTimeEstimate:20.4;0021_DecodingIntensityStdDev_577F1:62.926;0021_DecodingIntensityStdDev_577F2:129.954;0021_MeanDecodingIntensity_577F1:404.39;0021_MeanDecodingIntensity_577F2:415.00;0021AEB:00.0396;0021DecodingIntensityStdDev:79.501;0021DecodingIntensityStdDev_488:20.256;0021DecodingIntensityStdDev_647:79.501;0021DecodingIntensityStdDev_700:9.096;0021DecodingIntensityStdDev_750:5.733;0021F_on:0.0389;0021FillPercent:007.52;0021KineticInconsistentLower:0;0021KineticInconsistentMetadata:-530.616101268796|2.41;0021MeanDecodingIntensity:439.16;0021MeanDecodingIntensity_488:137.72;0021MeanDecodingIntensity_647:439.16;0021MeanDecodingIntensity_700:69.75;0021MeanDecodingIntensity_750:34.51;0021ReflectiveIntensity:13145.00;0021ReflectiveIntensityStdDev:539.029;0021SealTimeEstimate:19.4;0201_DecodingIntensityStdDev_577F1:45.161;0201_DecodingIntensityStdDev_577F2:91.252;0201_MeanDecodingIntensity_577F1:401.21;0201_MeanDecodingIntensity_577F2:409.99;0201AEB:00.0342;0201DecodingIntensityStdDev:94.660;0201DecodingIntensityStdDev_488:22.116;0201DecodingIntensityStdDev_647:14.096;0201DecodingIntensityStdDev_700:94.660;0201DecodingIntensityStdDev_750:9.572;0201F_on:0.0337;0201FillPercent:008.57;0201KineticInconsistentLower:0;0201KineticInconsistentMetadata:-521.208797818478|2.38;0201MeanDecodingIntensity:513.55;0201MeanDecodingIntensity_488:139.21;0201MeanDecodingIntensity_647:100.12;0201MeanDecodingIntensity_700:513.55;0201MeanDecodingIntensity_750:65.43;0201ReflectiveIntensity:13170.27;0201ReflectiveIntensityStdDev:547.665;0201SealTimeEstimate:19.8;2001_DecodingIntensityStdDev_577F1:48.204;2001_DecodingIntensityStdDev_577F2:97.646;2001_MeanDecodingIntensity_577F1:434.74;2001_MeanDecodingIntensity_577F2:445.48;2001AEB:00.0449;2001DecodingIntensityStdDev:201.580;2001DecodingIntensityStdDev_488:21.901;2001DecodingIntensityStdDev_647:5.229;2001DecodingIntensityStdDev_700:5.126;2001DecodingIntensityStdDev_750:201.580;2001F_on:0.0439;2001FillPercent:008.32;2001KineticInconsistentLower:0;2001KineticInconsistentMetadata:-585.47768776603|2.43;2001MeanDecodingIntensity:999.57;2001MeanDecodingIntensity_488:138.86;2001MeanDecodingIntensity_647:38.10;2001MeanDecodingIntensity_700:34.13;2001MeanDecodingIntensity_750:999.57;2001ReflectiveIntensity:13168.82;2001ReflectiveIntensityStdDev:568.871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11.17;Empties488F1MeanIntensity:64.51;Empties577F1IntensityStdDev:28.95;Empties577F1MeanIntensity:364.99;Empties577F2IntensityStdDev:32.27;Empties577F2MeanIntensity:362.50;Empties647F1IntensityStdDev:4.30;Empties647F1MeanIntensity:31.49;Empties700F1IntensityStdDev:4.18;Empties700F1MeanIntensity:29.25;Empties750F1IntensityStdDev:5.03;Empties750F1MeanIntensity:33.46;EmptiesIGrowth:480.39;EmptiesReflectiveIntensityStdDev:393.02;EmptiesReflectiveMeanIntensity:11877.62;Errors:;F2minusF1Shift:0.3;FluorescenceClassification:Normal;Focus_FracImageLost:0.00;FocusScoresAvg:3.44;FocusScoresImageCenter:4.10;FocusScoresMax:5.16;FocusScoresMedian:3.42;FractionImageDebris:0.1612;FractionWellsDebris:0.1347;ImageQualityScoreIfUnpegged:1.00;IndexingWellsMissingFromFov:5148;IndexingWellsTotalLostBothVisibleAndMissing:7456;IndexingWellsVisibleInFovButRemoved:2308;L1DR time (ms):27358;NetBeadFillRate:26.15;NormalizedFillPercentage:037.23;Notes:Indexing: stripe across bottom | Xtalk: usable out of spec wv 577 sr 4 dir 5 value 0.043. | Xtalk: usable out of spec wv 577 sr 8 dir 5 value 0.046. | Xtalk: usable out of spec wv 577 sr 9 dir 5 value 0.043.;NumberDecSaturated:0;NumberEmpties:69368;NumberFlagged_DeadPixels:75.0000;NumberFlagged_Debris:24953.0000;NumberFlagged_MissingNeighbor:2200.0000;NumberFlagged_NeighborSaturated:06.0000;NumberFlagged_OutOfBounds:3237.0000;NumberFlagged_SaturatedPixelResorufinTwo:01.0000;NumberInvalidWells:27836;NumberPositiveEmpties:18;NumberPositives:3279;NumberResSaturated:1;NumberSaturatedWithoutDebris:1;NumberValidUnclassified:46852.00;NumberValidWells:157367;OddlyAggregatedFlag:2;OddlyAggregatedLocations:;OddlyAggregatedWorst:0;OffsetW488:( 1, 0 );OffsetW577:( 0, 0 );OffsetW647:( 0, 0 );OffsetW700:( 0, -1 );OffsetW750:( 0, -1 );ResorufinUnsaturated:0;ResorufinUnsaturatedMutated:0;ResorufinUnsaturaterNumberInFit:42;SaturatedDecodingWells:0;SuspiciousWells:26149;SuspiciousWellsFlagged:1;SuspiciousWellsLowerThreshold:4;Warnings:;WhiteLightChannelMedian:9733;XtalkSubregionsOutOfSpec:0</t>
  </si>
  <si>
    <t>0002_DecodingIntensityStdDev_577F1:47.722;0002_DecodingIntensityStdDev_577F2:90.714;0002_MeanDecodingIntensity_577F1:409.21;0002_MeanDecodingIntensity_577F2:419.03;0002AEB:00.0421;0002DecodingIntensityStdDev:338.461;0002DecodingIntensityStdDev_488:338.461;0002DecodingIntensityStdDev_647:4.690;0002DecodingIntensityStdDev_700:4.423;0002DecodingIntensityStdDev_750:5.399;0002F_on:0.0413;0002FillPercent:011.02;0002KineticInconsistentLower:0;0002KineticInconsistentMetadata:-490.735792737563|2.32;0002MeanDecodingIntensity:1720.00;0002MeanDecodingIntensity_488:1720.00;0002MeanDecodingIntensity_647:35.05;0002MeanDecodingIntensity_700:30.10;0002MeanDecodingIntensity_750:34.53;0002ReflectiveIntensity:13567.06;0002ReflectiveIntensityStdDev:627.285;0002SealTimeEstimate:20.8;0021_DecodingIntensityStdDev_577F1:51.711;0021_DecodingIntensityStdDev_577F2:102.270;0021_MeanDecodingIntensity_577F1:404.69;0021_MeanDecodingIntensity_577F2:415.31;0021AEB:00.0393;0021DecodingIntensityStdDev:80.282;0021DecodingIntensityStdDev_488:20.725;0021DecodingIntensityStdDev_647:80.282;0021DecodingIntensityStdDev_700:9.197;0021DecodingIntensityStdDev_750:5.514;0021F_on:0.0385;0021FillPercent:006.60;0021KineticInconsistentLower:0;0021KineticInconsistentMetadata:-517.118853054412|2.37;0021MeanDecodingIntensity:451.38;0021MeanDecodingIntensity_488:142.31;0021MeanDecodingIntensity_647:451.38;0021MeanDecodingIntensity_700:71.87;0021MeanDecodingIntensity_750:34.55;0021ReflectiveIntensity:13321.54;0021ReflectiveIntensityStdDev:563.482;0021SealTimeEstimate:20.0;0201_DecodingIntensityStdDev_577F1:52.032;0201_DecodingIntensityStdDev_577F2:100.473;0201_MeanDecodingIntensity_577F1:401.94;0201_MeanDecodingIntensity_577F2:411.34;0201AEB:00.0334;0201DecodingIntensityStdDev:93.651;0201DecodingIntensityStdDev_488:21.834;0201DecodingIntensityStdDev_647:14.044;0201DecodingIntensityStdDev_700:93.651;0201DecodingIntensityStdDev_750:9.159;0201F_on:0.0329;0201FillPercent:007.42;0201KineticInconsistentLower:0;0201KineticInconsistentMetadata:-503.333346639196|2.35;0201MeanDecodingIntensity:536.27;0201MeanDecodingIntensity_488:142.53;0201MeanDecodingIntensity_647:101.93;0201MeanDecodingIntensity_700:536.27;0201MeanDecodingIntensity_750:66.19;0201ReflectiveIntensity:13340.70;0201ReflectiveIntensityStdDev:571.091;0201SealTimeEstimate:20.3;2001_DecodingIntensityStdDev_577F1:54.491;2001_DecodingIntensityStdDev_577F2:106.693;2001_MeanDecodingIntensity_577F1:434.92;2001_MeanDecodingIntensity_577F2:445.05;2001AEB:00.0382;2001DecodingIntensityStdDev:191.838;2001DecodingIntensityStdDev_488:21.782;2001DecodingIntensityStdDev_647:5.044;2001DecodingIntensityStdDev_700:5.001;2001DecodingIntensityStdDev_750:191.838;2001F_on:0.0375;2001FillPercent:007.04;2001KineticInconsistentLower:0;2001KineticInconsistentMetadata:-556.70990947702|2.37;2001MeanDecodingIntensity:1015.75;2001MeanDecodingIntensity_488:142.72;2001MeanDecodingIntensity_647:38.39;2001MeanDecodingIntensity_700:34.32;2001MeanDecodingIntensity_750:1015.75;2001ReflectiveIntensity:13345.11;2001ReflectiveIntensityStdDev:578.022;2001SealTimeEstimate:20.0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11.26;Empties488F1MeanIntensity:67.07;Empties577F1IntensityStdDev:34.62;Empties577F1MeanIntensity:360.14;Empties577F2IntensityStdDev:35.92;Empties577F2MeanIntensity:358.03;Empties647F1IntensityStdDev:4.29;Empties647F1MeanIntensity:31.86;Empties700F1IntensityStdDev:4.13;Empties700F1MeanIntensity:29.40;Empties750F1IntensityStdDev:4.91;Empties750F1MeanIntensity:33.64;EmptiesIGrowth:539.75;EmptiesReflectiveIntensityStdDev:448.37;EmptiesReflectiveMeanIntensity:12040.67;Errors:;F2minusF1Shift:0.4;FluorescenceClassification:Normal;Focus_FracImageLost:0.00;FocusScoresAvg:3.47;FocusScoresImageCenter:3.96;FocusScoresMax:5.57;FocusScoresMedian:3.37;FractionImageDebris:0.1109;FractionWellsDebris:0.0780;ImageQualityScoreIfUnpegged:1.00;IndexingWellsMissingFromFov:8569;IndexingWellsTotalLostBothVisibleAndMissing:9320;IndexingWellsVisibleInFovButRemoved:751;L1DR time (ms):27710;NetBeadFillRate:22.55;NormalizedFillPercentage:032.08;Notes:Indexing: stripe across bottom | Xtalk: usable out of spec wv 577 sr 4 dir 5 value 0.046. | Xtalk: usable out of spec wv 577 sr 8 dir 4 value 0.046. | Xtalk: usable out of spec wv 577 sr 9 dir 4 value 0.036. | Xtalk: usable out of spec wv 488 sr 9 dir 4 value 0.036.;NumberDecSaturated:0;NumberEmpties:79027;NumberFlagged_DeadPixels:81.0000;NumberFlagged_Debris:14306.0000;NumberFlagged_MissingNeighbor:2339.0000;NumberFlagged_OutOfBounds:3191.0000;NumberInvalidWells:17832;NumberPositiveEmpties:10;NumberPositives:2638;NumberResSaturated:0;NumberSaturatedWithoutDebris:0;NumberValidUnclassified:49172.00;NumberValidWells:165530;OddlyAggregatedFlag:2;OddlyAggregatedLocations:;OddlyAggregatedWorst:0;OffsetW488:( 0, -1 );OffsetW577:( 0, 0 );OffsetW647:( 0, 0 );OffsetW700:( 0, -1 );OffsetW750:( 0, -1 );ResorufinUnsaturated:0;ResorufinUnsaturatedMutated:0;ResorufinUnsaturaterNumberInFit:42;SaturatedDecodingWells:0;SuspiciousWells:25813;SuspiciousWellsFlagged:1;SuspiciousWellsLowerThreshold:4;Warnings:;WhiteLightChannelMedian:9755;XtalkSubregionsOutOfSpec:0</t>
  </si>
  <si>
    <t>low-1-4-4</t>
  </si>
  <si>
    <t>Plate 1 - Well D5</t>
  </si>
  <si>
    <t>0002_DecodingIntensityStdDev_577F1:56.111;0002_DecodingIntensityStdDev_577F2:123.745;0002_MeanDecodingIntensity_577F1:448.28;0002_MeanDecodingIntensity_577F2:504.98;0002AEB:00.2633;0002DecodingIntensityStdDev:349.714;0002DecodingIntensityStdDev_488:349.714;0002DecodingIntensityStdDev_647:4.715;0002DecodingIntensityStdDev_700:4.662;0002DecodingIntensityStdDev_750:5.758;0002F_on:0.2315;0002FillPercent:011.28;0002KineticInconsistentLower:0;0002KineticInconsistentMetadata:-562.781105867114|2.43;0002MeanDecodingIntensity:1621.39;0002MeanDecodingIntensity_488:1621.39;0002MeanDecodingIntensity_647:34.72;0002MeanDecodingIntensity_700:30.07;0002MeanDecodingIntensity_750:34.49;0002ReflectiveIntensity:13013.45;0002ReflectiveIntensityStdDev:623.799;0002SealTimeEstimate:19.1;0021_DecodingIntensityStdDev_577F1:54.042;0021_DecodingIntensityStdDev_577F2:124.837;0021_MeanDecodingIntensity_577F1:446.69;0021_MeanDecodingIntensity_577F2:509.54;0021AEB:00.2667;0021DecodingIntensityStdDev:82.274;0021DecodingIntensityStdDev_488:20.968;0021DecodingIntensityStdDev_647:82.274;0021DecodingIntensityStdDev_700:9.708;0021DecodingIntensityStdDev_750:5.913;0021F_on:0.2341;0021FillPercent:006.50;0021KineticInconsistentLower:0;0021KineticInconsistentMetadata:-572.287391244062|2.47;0021MeanDecodingIntensity:426.45;0021MeanDecodingIntensity_488:137.01;0021MeanDecodingIntensity_647:426.45;0021MeanDecodingIntensity_700:68.55;0021MeanDecodingIntensity_750:34.49;0021ReflectiveIntensity:12778.04;0021ReflectiveIntensityStdDev:525.126;0021SealTimeEstimate:18.6;0201_DecodingIntensityStdDev_577F1:47.747;0201_DecodingIntensityStdDev_577F2:108.848;0201_MeanDecodingIntensity_577F1:444.09;0201_MeanDecodingIntensity_577F2:504.33;0201AEB:00.2974;0201DecodingIntensityStdDev:117.621;0201DecodingIntensityStdDev_488:25.097;0201DecodingIntensityStdDev_647:17.496;0201DecodingIntensityStdDev_700:117.621;0201DecodingIntensityStdDev_750:10.925;0201F_on:0.2573;0201FillPercent:007.88;0201KineticInconsistentLower:0;0201KineticInconsistentMetadata:-552.667070120977|2.43;0201MeanDecodingIntensity:502.08;0201MeanDecodingIntensity_488:139.41;0201MeanDecodingIntensity_647:98.67;0201MeanDecodingIntensity_700:502.08;0201MeanDecodingIntensity_750:64.35;0201ReflectiveIntensity:12833.97;0201ReflectiveIntensityStdDev:566.789;0201SealTimeEstimate:19.1;2001_DecodingIntensityStdDev_577F1:51.715;2001_DecodingIntensityStdDev_577F2:114.847;2001_MeanDecodingIntensity_577F1:473.55;2001_MeanDecodingIntensity_577F2:533.45;2001AEB:00.2794;2001DecodingIntensityStdDev:220.540;2001DecodingIntensityStdDev_488:23.325;2001DecodingIntensityStdDev_647:5.301;2001DecodingIntensityStdDev_700:5.695;2001DecodingIntensityStdDev_750:220.540;2001F_on:0.2438;2001FillPercent:007.36;2001KineticInconsistentLower:0;2001KineticInconsistentMetadata:-552.613079665681|2.35;2001MeanDecodingIntensity:938.32;2001MeanDecodingIntensity_488:138.87;2001MeanDecodingIntensity_647:38.03;2001MeanDecodingIntensity_700:34.26;2001MeanDecodingIntensity_750:938.32;2001ReflectiveIntensity:12833.64;2001ReflectiveIntensityStdDev:565.100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10.61;Empties488F1MeanIntensity:67.05;Empties577F1IntensityStdDev:15.11;Empties577F1MeanIntensity:379.13;Empties577F2IntensityStdDev:20.69;Empties577F2MeanIntensity:377.00;Empties647F1IntensityStdDev:4.10;Empties647F1MeanIntensity:31.33;Empties700F1IntensityStdDev:4.04;Empties700F1MeanIntensity:29.17;Empties750F1IntensityStdDev:4.81;Empties750F1MeanIntensity:33.29;EmptiesIGrowth:181.26;EmptiesReflectiveIntensityStdDev:347.01;EmptiesReflectiveMeanIntensity:11533.12;Errors:;F2minusF1Shift:-6.3;FluorescenceClassification:Normal;Focus_FracImageLost:0.00;FocusScoresAvg:3.28;FocusScoresImageCenter:3.79;FocusScoresMax:4.97;FocusScoresMedian:3.19;FractionImageDebris:0.1734;FractionWellsDebris:0.1465;ImageQualityScoreIfUnpegged:1.00;IndexingWellsMissingFromFov:5602;IndexingWellsTotalLostBothVisibleAndMissing:7456;IndexingWellsVisibleInFovButRemoved:1854;L1DR time (ms):27161;NetBeadFillRate:23.22;NormalizedFillPercentage:033.03;Notes:Indexing: stripe across bottom;NumberDecSaturated:0;NumberEmpties:73003;NumberFlagged_DeadPixels:73.0000;NumberFlagged_Debris:27134.0000;NumberFlagged_MissingNeighbor:2849.0000;NumberFlagged_OutOfBounds:3156.0000;NumberInvalidWells:30159;NumberPositiveEmpties:53;NumberPositives:29151;NumberResSaturated:0;NumberSaturatedWithoutDebris:0;NumberValidUnclassified:46099.00;NumberValidWells:155112;OddlyAggregatedFlag:2;OddlyAggregatedLocations:;OddlyAggregatedWorst:0;OffsetW488:( 1, 0 );OffsetW577:( 0, 0 );OffsetW647:( 0, 0 );OffsetW700:( 0, 0 );OffsetW750:( 0, -1 );ResorufinUnsaturated:0;ResorufinUnsaturatedMutated:0;ResorufinUnsaturaterNumberInFit:62;SaturatedDecodingWells:0;SuspiciousWells:24360;SuspiciousWellsFlagged:1;SuspiciousWellsLowerThreshold:4;Warnings:;WhiteLightChannelMedian:9573;XtalkSubregionsOutOfSpec:0</t>
  </si>
  <si>
    <t>0002_DecodingIntensityStdDev_577F1:71.430;0002_DecodingIntensityStdDev_577F2:147.352;0002_MeanDecodingIntensity_577F1:451.75;0002_MeanDecodingIntensity_577F2:507.56;0002AEB:00.5397;0002DecodingIntensityStdDev:342.903;0002DecodingIntensityStdDev_488:342.903;0002DecodingIntensityStdDev_647:4.639;0002DecodingIntensityStdDev_700:4.519;0002DecodingIntensityStdDev_750:5.593;0002F_on:0.4171;0002FillPercent:011.20;0002KineticInconsistentLower:0;0002KineticInconsistentMetadata:-404.80885649993|2.07;0002MeanDecodingIntensity:1587.18;0002MeanDecodingIntensity_488:1587.18;0002MeanDecodingIntensity_647:34.59;0002MeanDecodingIntensity_700:29.93;0002MeanDecodingIntensity_750:34.43;0002ReflectiveIntensity:12969.84;0002ReflectiveIntensityStdDev:605.292;0002SealTimeEstimate:25.9;0021_DecodingIntensityStdDev_577F1:83.346;0021_DecodingIntensityStdDev_577F2:172.275;0021_MeanDecodingIntensity_577F1:451.97;0021_MeanDecodingIntensity_577F2:515.38;0021AEB:00.2409;0021DecodingIntensityStdDev:83.425;0021DecodingIntensityStdDev_488:20.631;0021DecodingIntensityStdDev_647:83.425;0021DecodingIntensityStdDev_700:9.690;0021DecodingIntensityStdDev_750:5.832;0021F_on:0.2141;0021FillPercent:006.42;0021KineticInconsistentLower:0;0021KineticInconsistentMetadata:-480.602163061133|2.25;0021MeanDecodingIntensity:414.86;0021MeanDecodingIntensity_488:137.52;0021MeanDecodingIntensity_647:414.86;0021MeanDecodingIntensity_700:68.51;0021MeanDecodingIntensity_750:34.54;0021ReflectiveIntensity:12745.04;0021ReflectiveIntensityStdDev:513.582;0021SealTimeEstimate:22.0;0201_DecodingIntensityStdDev_577F1:70.660;0201_DecodingIntensityStdDev_577F2:147.161;0201_MeanDecodingIntensity_577F1:449.22;0201_MeanDecodingIntensity_577F2:509.45;0201AEB:00.2097;0201DecodingIntensityStdDev:115.990;0201DecodingIntensityStdDev_488:24.255;0201DecodingIntensityStdDev_647:16.888;0201DecodingIntensityStdDev_700:115.990;0201DecodingIntensityStdDev_750:10.611;0201F_on:0.1892;0201FillPercent:007.80;0201KineticInconsistentLower:0;0201KineticInconsistentMetadata:-475.543301763054|2.24;0201MeanDecodingIntensity:497.91;0201MeanDecodingIntensity_488:140.30;0201MeanDecodingIntensity_647:96.51;0201MeanDecodingIntensity_700:497.91;0201MeanDecodingIntensity_750:63.96;0201ReflectiveIntensity:12809.63;0201ReflectiveIntensityStdDev:549.565;0201SealTimeEstimate:22.2;2001_DecodingIntensityStdDev_577F1:64.968;2001_DecodingIntensityStdDev_577F2:130.259;2001_MeanDecodingIntensity_577F1:478.79;2001_MeanDecodingIntensity_577F2:538.60;2001AEB:00.2531;2001DecodingIntensityStdDev:226.497;2001DecodingIntensityStdDev_488:23.402;2001DecodingIntensityStdDev_647:5.289;2001DecodingIntensityStdDev_700:5.444;2001DecodingIntensityStdDev_750:226.497;2001F_on:0.2236;2001FillPercent:007.16;2001KineticInconsistentLower:0;2001KineticInconsistentMetadata:-476.350163402369|2.17;2001MeanDecodingIntensity:947.96;2001MeanDecodingIntensity_488:139.66;2001MeanDecodingIntensity_647:37.77;2001MeanDecodingIntensity_700:34.14;2001MeanDecodingIntensity_750:947.96;2001ReflectiveIntensity:12789.58;2001ReflectiveIntensityStdDev:565.327;2001SealTimeEstimate:23.6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10.63;Empties488F1MeanIntensity:68.02;Empties577F1IntensityStdDev:22.95;Empties577F1MeanIntensity:378.36;Empties577F2IntensityStdDev:33.53;Empties577F2MeanIntensity:376.59;Empties647F1IntensityStdDev:4.02;Empties647F1MeanIntensity:31.36;Empties700F1IntensityStdDev:3.91;Empties700F1MeanIntensity:29.16;Empties750F1IntensityStdDev:4.68;Empties750F1MeanIntensity:33.32;EmptiesIGrowth:233.64;EmptiesReflectiveIntensityStdDev:355.81;EmptiesReflectiveMeanIntensity:11527.33;Errors:;F2minusF1Shift:-4.8;FluorescenceClassification:Normal;Focus_FracImageLost:0.00;FocusScoresAvg:3.25;FocusScoresImageCenter:3.88;FocusScoresMax:4.80;FocusScoresMedian:3.15;FractionImageDebris:0.1311;FractionWellsDebris:0.1275;ImageQualityScoreIfUnpegged:1.00;IndexingWellsMissingFromFov:1460;IndexingWellsTotalLostBothVisibleAndMissing:3728;IndexingWellsVisibleInFovButRemoved:2268;L1DR time (ms):28060;NetBeadFillRate:22.90;NormalizedFillPercentage:032.58;Notes:Indexing: stripe across bottom | Xtalk: usable out of spec wv 577 sr 4 dir 5 value 0.041. | Xtalk: usable out of spec wv 577 sr 8 dir 5 value 0.036.;NumberDecSaturated:0;NumberEmpties:75989;NumberFlagged_DeadPixels:74.0000;NumberFlagged_Debris:24064.0000;NumberFlagged_MissingNeighbor:3729.0000;NumberFlagged_NeighborSaturated:18.0000;NumberFlagged_OddlyRecurrentClassification:2612.0000;NumberFlagged_OutOfBounds:3092.0000;NumberFlagged_SaturatedPixelResorufinTwo:03.0000;NumberInvalidWells:28441;NumberPositiveEmpties:82;NumberPositives:30114;NumberResSaturated:3;NumberSaturatedWithoutDebris:2;NumberValidUnclassified:47611.00;NumberValidWells:160315;OddlyAggregatedFlag:2;OddlyAggregatedLocations:;OddlyAggregatedWorst:0;OffsetW488:( 0, 0 );OffsetW577:( 0, 0 );OffsetW647:( 0, 0 );OffsetW700:( 0, 0 );OffsetW750:( 0, 0 );ResorufinUnsaturated:0;ResorufinUnsaturatedMutated:0;ResorufinUnsaturaterNumberInFit:165;SaturatedDecodingWells:0;SuspiciousWells:22355;SuspiciousWellsFlagged:1;SuspiciousWellsLowerThreshold:4;Warnings:;WhiteLightChannelMedian:9595;XtalkSubregionsOutOfSpec:0</t>
  </si>
  <si>
    <t>0002_DecodingIntensityStdDev_577F1:60.447;0002_DecodingIntensityStdDev_577F2:133.398;0002_MeanDecodingIntensity_577F1:450.02;0002_MeanDecodingIntensity_577F2:510.00;0002AEB:00.2424;0002DecodingIntensityStdDev:350.861;0002DecodingIntensityStdDev_488:350.861;0002DecodingIntensityStdDev_647:4.887;0002DecodingIntensityStdDev_700:4.681;0002DecodingIntensityStdDev_750:6.061;0002F_on:0.2153;0002FillPercent:011.98;0002KineticInconsistentLower:0;0002KineticInconsistentMetadata:-531.542078390512|2.37;0002MeanDecodingIntensity:1592.58;0002MeanDecodingIntensity_488:1592.58;0002MeanDecodingIntensity_647:34.82;0002MeanDecodingIntensity_700:30.20;0002MeanDecodingIntensity_750:34.96;0002ReflectiveIntensity:12967.10;0002ReflectiveIntensityStdDev:620.317;0002SealTimeEstimate:20.0;0021_DecodingIntensityStdDev_577F1:60.289;0021_DecodingIntensityStdDev_577F2:135.801;0021_MeanDecodingIntensity_577F1:446.37;0021_MeanDecodingIntensity_577F2:510.52;0021AEB:00.2451;0021DecodingIntensityStdDev:84.542;0021DecodingIntensityStdDev_488:21.363;0021DecodingIntensityStdDev_647:84.542;0021DecodingIntensityStdDev_700:9.965;0021DecodingIntensityStdDev_750:6.332;0021F_on:0.2174;0021FillPercent:007.06;0021KineticInconsistentLower:0;0021KineticInconsistentMetadata:-537.418262483379|2.4;0021MeanDecodingIntensity:417.97;0021MeanDecodingIntensity_488:139.97;0021MeanDecodingIntensity_647:417.97;0021MeanDecodingIntensity_700:68.88;0021MeanDecodingIntensity_750:35.08;0021ReflectiveIntensity:12721.04;0021ReflectiveIntensityStdDev:530.913;0021SealTimeEstimate:19.5;0201_DecodingIntensityStdDev_577F1:58.306;0201_DecodingIntensityStdDev_577F2:128.517;0201_MeanDecodingIntensity_577F1:444.95;0201_MeanDecodingIntensity_577F2:506.99;0201AEB:00.2892;0201DecodingIntensityStdDev:119.366;0201DecodingIntensityStdDev_488:26.230;0201DecodingIntensityStdDev_647:19.746;0201DecodingIntensityStdDev_700:119.366;0201DecodingIntensityStdDev_750:11.421;0201F_on:0.2512;0201FillPercent:008.24;0201KineticInconsistentLower:0;0201KineticInconsistentMetadata:-479.61947735988|2.28;0201MeanDecodingIntensity:498.58;0201MeanDecodingIntensity_488:142.49;0201MeanDecodingIntensity_647:97.91;0201MeanDecodingIntensity_700:498.58;0201MeanDecodingIntensity_750:64.96;0201ReflectiveIntensity:12789.77;0201ReflectiveIntensityStdDev:576.252;0201SealTimeEstimate:21.4;2001_DecodingIntensityStdDev_577F1:54.021;2001_DecodingIntensityStdDev_577F2:115.046;2001_MeanDecodingIntensity_577F1:474.71;2001_MeanDecodingIntensity_577F2:536.29;2001AEB:00.2494;2001DecodingIntensityStdDev:231.970;2001DecodingIntensityStdDev_488:23.679;2001DecodingIntensityStdDev_647:5.575;2001DecodingIntensityStdDev_700:5.617;2001DecodingIntensityStdDev_750:231.970;2001F_on:0.2208;2001FillPercent:007.84;2001KineticInconsistentLower:0;2001KineticInconsistentMetadata:-531.782982571826|2.31;2001MeanDecodingIntensity:958.23;2001MeanDecodingIntensity_488:141.39;2001MeanDecodingIntensity_647:38.08;2001MeanDecodingIntensity_700:34.38;2001MeanDecodingIntensity_750:958.23;2001ReflectiveIntensity:12772.37;2001ReflectiveIntensityStdDev:570.348;2001SealTimeEstimate:20.9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10.99;Empties488F1MeanIntensity:69.46;Empties577F1IntensityStdDev:18.97;Empties577F1MeanIntensity:378.48;Empties577F2IntensityStdDev:26.93;Empties577F2MeanIntensity:377.18;Empties647F1IntensityStdDev:4.19;Empties647F1MeanIntensity:31.56;Empties700F1IntensityStdDev:4.07;Empties700F1MeanIntensity:29.27;Empties750F1IntensityStdDev:4.91;Empties750F1MeanIntensity:33.51;EmptiesIGrowth:233.00;EmptiesReflectiveIntensityStdDev:368.80;EmptiesReflectiveMeanIntensity:11508.15;Errors:;F2minusF1Shift:-10.4;FluorescenceClassification:Normal;Focus_FracImageLost:0.00;FocusScoresAvg:3.27;FocusScoresImageCenter:3.76;FocusScoresMax:4.86;FocusScoresMedian:3.23;FractionImageDebris:0.0803;FractionWellsDebris:0.0732;ImageQualityScoreIfUnpegged:1.00;IndexingWellsMissingFromFov:2465;IndexingWellsTotalLostBothVisibleAndMissing:3728;IndexingWellsVisibleInFovButRemoved:1263;L1DR time (ms):28775;NetBeadFillRate:24.68;NormalizedFillPercentage:035.13;Notes:Indexing: stripe across bottom | Xtalk: usable out of spec wv 577 sr 4 dir 5 value 0.043.;NumberDecSaturated:0;NumberEmpties:77859;NumberFlagged_DeadPixels:76.0000;NumberFlagged_Debris:13845.0000;NumberFlagged_MissingNeighbor:2614.0000;NumberFlagged_NeighborSaturated:06.0000;NumberFlagged_OddlyRecurrentClassification:1839.0000;NumberFlagged_OutOfBounds:3145.0000;NumberFlagged_SaturatedPixelResorufinTwo:01.0000;NumberInvalidWells:18263;NumberPositiveEmpties:94;NumberPositives:28822;NumberResSaturated:1;NumberSaturatedWithoutDebris:1;NumberValidUnclassified:50802.00;NumberValidWells:170825;OddlyAggregatedFlag:2;OddlyAggregatedLocations:;OddlyAggregatedWorst:0;OffsetW488:( 0, 0 );OffsetW577:( 0, 0 );OffsetW647:( 0, 0 );OffsetW700:( 0, 0 );OffsetW750:( 0, 0 );ResorufinUnsaturated:0;ResorufinUnsaturatedMutated:0;ResorufinUnsaturaterNumberInFit:102;SaturatedDecodingWells:0;SuspiciousWells:25648;SuspiciousWellsFlagged:1;SuspiciousWellsLowerThreshold:4;Warnings:;WhiteLightChannelMedian:9615;XtalkSubregionsOutOfSpec:0</t>
  </si>
  <si>
    <t>low-1-4-5</t>
  </si>
  <si>
    <t>Plate 1 - Well E5</t>
  </si>
  <si>
    <t>DataReduction.L1.CrossTalkException;DataReduction.L2.AebOutOfCalibrationRangeBelow;DataReduction.L2.InvalidL1drResultException</t>
  </si>
  <si>
    <t>0002_DecodingIntensityStdDev_577F1:90.099;0002_DecodingIntensityStdDev_577F2:181.082;0002_MeanDecodingIntensity_577F1:563.42;0002_MeanDecodingIntensity_577F2:756.56;0002AEB:-;0002DecodingIntensityStdDev:342.914;0002DecodingIntensityStdDev_488:342.914;0002DecodingIntensityStdDev_647:4.848;0002DecodingIntensityStdDev_700:4.663;0002DecodingIntensityStdDev_750:5.788;0002F_on:0.9919;0002FillPercent:012.60;0002KineticInconsistentLower:0;0002KineticInconsistentMetadata:-463.204221652936|2.21;0002MeanDecodingIntensity:1539.56;0002MeanDecodingIntensity_488:1539.56;0002MeanDecodingIntensity_647:34.80;0002MeanDecodingIntensity_700:30.24;0002MeanDecodingIntensity_750:34.84;0002ReflectiveIntensity:12933.00;0002ReflectiveIntensityStdDev:625.829;0002SealTimeEstimate:22.7;0021_DecodingIntensityStdDev_577F1:98.283;0021_DecodingIntensityStdDev_577F2:202.707;0021_MeanDecodingIntensity_577F1:590.16;0021_MeanDecodingIntensity_577F2:824.15;0021AEB:-;0021DecodingIntensityStdDev:82.664;0021DecodingIntensityStdDev_488:20.995;0021DecodingIntensityStdDev_647:82.664;0021DecodingIntensityStdDev_700:9.491;0021DecodingIntensityStdDev_750:5.918;0021F_on:0.9970;0021FillPercent:007.45;0021KineticInconsistentLower:0;0021KineticInconsistentMetadata:-482.652408624547|2.26;0021MeanDecodingIntensity:417.23;0021MeanDecodingIntensity_488:139.24;0021MeanDecodingIntensity_647:417.23;0021MeanDecodingIntensity_700:68.27;0021MeanDecodingIntensity_750:34.72;0021ReflectiveIntensity:12709.98;0021ReflectiveIntensityStdDev:537.092;0021SealTimeEstimate:21.8;0201_DecodingIntensityStdDev_577F1:97.985;0201_DecodingIntensityStdDev_577F2:201.069;0201_MeanDecodingIntensity_577F1:582.76;0201_MeanDecodingIntensity_577F2:807.23;0201AEB:-;0201DecodingIntensityStdDev:103.995;0201DecodingIntensityStdDev_488:23.157;0201DecodingIntensityStdDev_647:15.716;0201DecodingIntensityStdDev_700:103.995;0201DecodingIntensityStdDev_750:10.209;0201F_on:0.9954;0201FillPercent:008.62;0201KineticInconsistentLower:0;0201KineticInconsistentMetadata:-476.938437097412|2.25;0201MeanDecodingIntensity:488.24;0201MeanDecodingIntensity_488:140.88;0201MeanDecodingIntensity_647:97.32;0201MeanDecodingIntensity_700:488.24;0201MeanDecodingIntensity_750:64.39;0201ReflectiveIntensity:12733.34;0201ReflectiveIntensityStdDev:533.042;0201SealTimeEstimate:22.0;2001_DecodingIntensityStdDev_577F1:98.564;2001_DecodingIntensityStdDev_577F2:199.355;2001_MeanDecodingIntensity_577F1:611.27;2001_MeanDecodingIntensity_577F2:835.36;2001AEB:-;2001DecodingIntensityStdDev:213.380;2001DecodingIntensityStdDev_488:22.906;2001DecodingIntensityStdDev_647:5.287;2001DecodingIntensityStdDev_700:5.255;2001DecodingIntensityStdDev_750:213.380;2001F_on:0.9957;2001FillPercent:008.33;2001KineticInconsistentLower:0;2001KineticInconsistentMetadata:-500.3173417116|2.23;2001MeanDecodingIntensity:958.47;2001MeanDecodingIntensity_488:140.77;2001MeanDecodingIntensity_647:37.94;2001MeanDecodingIntensity_700:34.22;2001MeanDecodingIntensity_750:958.47;2001ReflectiveIntensity:12744.87;2001ReflectiveIntensityStdDev:566.566;2001SealTimeEstimate:22.3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11.69;Empties488F1MeanIntensity:71.17;Empties577F1IntensityStdDev:25.39;Empties577F1MeanIntensity:380.47;Empties577F2IntensityStdDev:42.01;Empties577F2MeanIntensity:382.62;Empties647F1IntensityStdDev:4.39;Empties647F1MeanIntensity:31.64;Empties700F1IntensityStdDev:4.34;Empties700F1MeanIntensity:29.55;Empties750F1IntensityStdDev:5.25;Empties750F1MeanIntensity:33.92;EmptiesIGrowth:199.64;EmptiesReflectiveIntensityStdDev:357.22;EmptiesReflectiveMeanIntensity:11503.13;Errors:;F2minusF1Shift:-1.0;FittedF2OverF1Intercept:-543.408857558664;FittedF2OverF1Slope:2.1024605055926;FluorescenceClassification:Normal;Focus_FracImageLost:0.00;FocusScoresAvg:3.06;FocusScoresImageCenter:3.71;FocusScoresMax:4.51;FocusScoresMedian:3.02;FractionImageDebris:0.2677;FractionWellsDebris:0.2482;ImageQualityScoreIfUnpegged:1.00;IndexingWellsMissingFromFov:8535;IndexingWellsTotalLostBothVisibleAndMissing:9320;IndexingWellsVisibleInFovButRemoved:785;L1DR time (ms):26718;NetBeadFillRate:25.97;NormalizedFillPercentage:036.99;Notes:Indexing: stripe across bottom | Xtalk: usable out of spec wv 577 sr 4 dir 5 value 0.046. | Xtalk: usable out of spec wv 577 sr 7 dir 3 value 0.036. | Xtalk: usable out of spec wv 577 sr 8 dir 5 value 0.046.;NumberDecSaturated:0;NumberEmpties:59288;NumberFlagged_DeadPixels:78.0000;NumberFlagged_Debris:45571.0000;NumberFlagged_MissingNeighbor:2395.0000;NumberFlagged_NeighborSaturated:12.0000;NumberFlagged_OddlyRecurrentClassification:12007.0000;NumberFlagged_OutOfBounds:3051.0000;NumberFlagged_SaturatedPixelResorufinTwo:02.0000;NumberInvalidWells:49549;NumberPositiveEmpties:135;NumberPositives:72468;NumberResSaturated:2;NumberSaturatedWithoutDebris:0;NumberValidUnclassified:39960.00;NumberValidWells:134057;OddlyAggregatedFlag:2;OddlyAggregatedLocations:;OddlyAggregatedWorst:0;OffsetW488:( 0, 0 );OffsetW577:( 0, 0 );OffsetW647:( 0, 0 );OffsetW700:( 0, 0 );OffsetW750:( 0, 0 );ResorufinUnsaturated:1;ResorufinUnsaturatedMutated:0;ResorufinUnsaturatedSuspiciousF1:0;ResorufinUnsaturaterNumberInFit:857;SaturatedDecodingWells:0;SuspiciousWells:23477;SuspiciousWellsFlagged:1;SuspiciousWellsLowerThreshold:4;Warnings:;WhiteLightChannelMedian:9660;XtalkSubregionsOutOfSpec:0</t>
  </si>
  <si>
    <t>0002_DecodingIntensityStdDev_577F1:77.107;0002_DecodingIntensityStdDev_577F2:163.940;0002_MeanDecodingIntensity_577F1:542.89;0002_MeanDecodingIntensity_577F2:731.81;0002AEB:-;0002DecodingIntensityStdDev:347.552;0002DecodingIntensityStdDev_488:347.552;0002DecodingIntensityStdDev_647:5.129;0002DecodingIntensityStdDev_700:4.937;0002DecodingIntensityStdDev_750:6.319;0002F_on:0.9913;0002FillPercent:013.88;0002KineticInconsistentLower:0;0002KineticInconsistentMetadata:-520.114710907331|2.36;0002MeanDecodingIntensity:1515.70;0002MeanDecodingIntensity_488:1515.70;0002MeanDecodingIntensity_647:35.20;0002MeanDecodingIntensity_700:30.42;0002MeanDecodingIntensity_750:35.30;0002ReflectiveIntensity:12983.23;0002ReflectiveIntensityStdDev:614.530;0002SealTimeEstimate:20.1;0021_DecodingIntensityStdDev_577F1:81.980;0021_DecodingIntensityStdDev_577F2:179.193;0021_MeanDecodingIntensity_577F1:561.36;0021_MeanDecodingIntensity_577F2:786.20;0021AEB:-;0021DecodingIntensityStdDev:87.019;0021DecodingIntensityStdDev_488:22.450;0021DecodingIntensityStdDev_647:87.019;0021DecodingIntensityStdDev_700:10.105;0021DecodingIntensityStdDev_750:6.539;0021F_on:0.9981;0021FillPercent:008.32;0021KineticInconsistentLower:0;0021KineticInconsistentMetadata:-535.948927318682|2.41;0021MeanDecodingIntensity:414.66;0021MeanDecodingIntensity_488:142.66;0021MeanDecodingIntensity_647:414.66;0021MeanDecodingIntensity_700:68.16;0021MeanDecodingIntensity_750:35.28;0021ReflectiveIntensity:12760.62;0021ReflectiveIntensityStdDev:514.933;0021SealTimeEstimate:19.4;0201_DecodingIntensityStdDev_577F1:88.184;0201_DecodingIntensityStdDev_577F2:191.526;0201_MeanDecodingIntensity_577F1:558.87;0201_MeanDecodingIntensity_577F2:778.71;0201AEB:-;0201DecodingIntensityStdDev:118.028;0201DecodingIntensityStdDev_488:26.364;0201DecodingIntensityStdDev_647:18.892;0201DecodingIntensityStdDev_700:118.028;0201DecodingIntensityStdDev_750:11.470;0201F_on:0.9962;0201FillPercent:009.67;0201KineticInconsistentLower:0;0201KineticInconsistentMetadata:-521.367703240086|2.38;0201MeanDecodingIntensity:487.17;0201MeanDecodingIntensity_488:144.82;0201MeanDecodingIntensity_647:98.20;0201MeanDecodingIntensity_700:487.17;0201MeanDecodingIntensity_750:64.82;0201ReflectiveIntensity:12814.22;0201ReflectiveIntensityStdDev:532.861;0201SealTimeEstimate:19.8;2001_DecodingIntensityStdDev_577F1:99.265;2001_DecodingIntensityStdDev_577F2:216.990;2001_MeanDecodingIntensity_577F1:589.13;2001_MeanDecodingIntensity_577F2:809.10;2001AEB:-;2001DecodingIntensityStdDev:228.143;2001DecodingIntensityStdDev_488:24.983;2001DecodingIntensityStdDev_647:5.515;2001DecodingIntensityStdDev_700:5.742;2001DecodingIntensityStdDev_750:228.143;2001F_on:0.9971;2001FillPercent:009.32;2001KineticInconsistentLower:0;2001KineticInconsistentMetadata:-560.689455312878|2.38;2001MeanDecodingIntensity:957.80;2001MeanDecodingIntensity_488:144.54;2001MeanDecodingIntensity_647:38.35;2001MeanDecodingIntensity_700:34.63;2001MeanDecodingIntensity_750:957.80;2001ReflectiveIntensity:12806.94;2001ReflectiveIntensityStdDev:548.348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12.72;Empties488F1MeanIntensity:73.56;Empties577F1IntensityStdDev:25.21;Empties577F1MeanIntensity:389.06;Empties577F2IntensityStdDev:39.36;Empties577F2MeanIntensity:391.21;Empties647F1IntensityStdDev:4.48;Empties647F1MeanIntensity:31.80;Empties700F1IntensityStdDev:4.46;Empties700F1MeanIntensity:29.66;Empties750F1IntensityStdDev:5.39;Empties750F1MeanIntensity:34.07;EmptiesIGrowth:201.08;EmptiesReflectiveIntensityStdDev:336.28;EmptiesReflectiveMeanIntensity:11540.57;Errors:;F2minusF1Shift:-1.0;FittedF2OverF1Intercept:-642.935528755181;FittedF2OverF1Slope:2.2635432526099;FluorescenceClassification:Normal;Focus_FracImageLost:0.00;FocusScoresAvg:3.35;FocusScoresImageCenter:4.00;FocusScoresMax:4.96;FocusScoresMedian:3.33;FractionImageDebris:0.2119;FractionWellsDebris:0.2023;ImageQualityScoreIfUnpegged:1.00;IndexingWellsMissingFromFov:5433;IndexingWellsTotalLostBothVisibleAndMissing:7456;IndexingWellsVisibleInFovButRemoved:2023;L1DR time (ms):27365;NetBeadFillRate:28.89;NormalizedFillPercentage:041.19;Notes:Indexing: stripe across bottom | Xtalk: usable out of spec wv 577 sr 4 dir 5 value 0.043. | Xtalk: usable out of spec wv 577 sr 8 dir 5 value 0.038.;NumberDecSaturated:0;NumberEmpties:52571;NumberFlagged_DeadPixels:72.0000;NumberFlagged_Debris:37497.0000;NumberFlagged_MissingNeighbor:2419.0000;NumberFlagged_OddlyRecurrentClassification:32597.0000;NumberFlagged_OutOfBounds:3106.0000;NumberInvalidWells:57919;NumberPositiveEmpties:221;NumberPositives:83220;NumberResSaturated:0;NumberSaturatedWithoutDebris:0;NumberValidUnclassified:38032.00;NumberValidWells:127420;OddlyAggregatedFlag:2;OddlyAggregatedLocations:;OddlyAggregatedWorst:0;OffsetW488:( 0, 0 );OffsetW577:( 0, 0 );OffsetW647:( 0, 0 );OffsetW700:( 0, 0 );OffsetW750:( 0, 0 );ResorufinUnsaturated:1;ResorufinUnsaturatedMutated:1;ResorufinUnsaturatedSuspiciousF1:0;ResorufinUnsaturaterNumberInFit:488;SaturatedDecodingWells:0;SuspiciousWells:22096;SuspiciousWellsFlagged:1;SuspiciousWellsLowerThreshold:5;Warnings:;WhiteLightChannelMedian:9691;XtalkSubregionsOutOfSpec:0</t>
  </si>
  <si>
    <t>low-1-4-6</t>
  </si>
  <si>
    <t>Plate 1 - Well F5</t>
  </si>
  <si>
    <t>0002_DecodingIntensityStdDev_577F1:52.017;0002_DecodingIntensityStdDev_577F2:112.023;0002_MeanDecodingIntensity_577F1:463.03;0002_MeanDecodingIntensity_577F2:532.13;0002AEB:00.3304;0002DecodingIntensityStdDev:357.943;0002DecodingIntensityStdDev_488:357.943;0002DecodingIntensityStdDev_647:4.689;0002DecodingIntensityStdDev_700:4.450;0002DecodingIntensityStdDev_750:5.536;0002F_on:0.2814;0002FillPercent:010.81;0002KineticInconsistentLower:0;0002KineticInconsistentMetadata:-477.316712235777|2.24;0002MeanDecodingIntensity:1697.20;0002MeanDecodingIntensity_488:1697.20;0002MeanDecodingIntensity_647:34.86;0002MeanDecodingIntensity_700:30.11;0002MeanDecodingIntensity_750:34.66;0002ReflectiveIntensity:13042.67;0002ReflectiveIntensityStdDev:596.938;0002SealTimeEstimate:22.2;0021_DecodingIntensityStdDev_577F1:46.302;0021_DecodingIntensityStdDev_577F2:102.445;0021_MeanDecodingIntensity_577F1:459.87;0021_MeanDecodingIntensity_577F2:533.78;0021AEB:-;0021DecodingIntensityStdDev:86.846;0021DecodingIntensityStdDev_488:20.350;0021DecodingIntensityStdDev_647:86.846;0021DecodingIntensityStdDev_700:9.683;0021DecodingIntensityStdDev_750:5.637;0021F_on:0.7484;0021FillPercent:006.49;0021KineticInconsistentLower:0;0021KineticInconsistentMetadata:-474.73502083097|2.24;0021MeanDecodingIntensity:438.04;0021MeanDecodingIntensity_488:141.18;0021MeanDecodingIntensity_647:438.04;0021MeanDecodingIntensity_700:70.28;0021MeanDecodingIntensity_750:34.72;0021ReflectiveIntensity:12795.49;0021ReflectiveIntensityStdDev:486.261;0021SealTimeEstimate:22.2;0201_DecodingIntensityStdDev_577F1:45.069;0201_DecodingIntensityStdDev_577F2:97.911;0201_MeanDecodingIntensity_577F1:456.05;0201_MeanDecodingIntensity_577F2:526.20;0201AEB:-;0201DecodingIntensityStdDev:103.969;0201DecodingIntensityStdDev_488:21.662;0201DecodingIntensityStdDev_647:15.647;0201DecodingIntensityStdDev_700:103.969;0201DecodingIntensityStdDev_750:9.856;0201F_on:0.7281;0201FillPercent:007.38;0201KineticInconsistentLower:0;0201KineticInconsistentMetadata:-469.302449295596|2.23;0201MeanDecodingIntensity:517.50;0201MeanDecodingIntensity_488:141.87;0201MeanDecodingIntensity_647:99.44;0201MeanDecodingIntensity_700:517.50;0201MeanDecodingIntensity_750:65.34;0201ReflectiveIntensity:12810.17;0201ReflectiveIntensityStdDev:505.066;0201SealTimeEstimate:22.4;2001_DecodingIntensityStdDev_577F1:49.781;2001_DecodingIntensityStdDev_577F2:104.785;2001_MeanDecodingIntensity_577F1:488.77;2001_MeanDecodingIntensity_577F2:559.25;2001AEB:-;2001DecodingIntensityStdDev:213.449;2001DecodingIntensityStdDev_488:21.873;2001DecodingIntensityStdDev_647:5.177;2001DecodingIntensityStdDev_700:5.070;2001DecodingIntensityStdDev_750:213.449;2001F_on:0.7258;2001FillPercent:007.15;2001KineticInconsistentLower:0;2001KineticInconsistentMetadata:-452.655035583278|2.12;2001MeanDecodingIntensity:997.68;2001MeanDecodingIntensity_488:142.12;2001MeanDecodingIntensity_647:37.99;2001MeanDecodingIntensity_700:34.08;2001MeanDecodingIntensity_750:997.68;2001ReflectiveIntensity:12820.44;2001ReflectiveIntensityStdDev:526.665;2001SealTimeEstimate:24.7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11.00;Empties488F1MeanIntensity:70.32;Empties577F1IntensityStdDev:18.02;Empties577F1MeanIntensity:384.34;Empties577F2IntensityStdDev:22.28;Empties577F2MeanIntensity:383.03;Empties647F1IntensityStdDev:4.18;Empties647F1MeanIntensity:31.65;Empties700F1IntensityStdDev:4.05;Empties700F1MeanIntensity:29.41;Empties750F1IntensityStdDev:4.84;Empties750F1MeanIntensity:33.63;EmptiesIGrowth:137.71;EmptiesReflectiveIntensityStdDev:284.58;EmptiesReflectiveMeanIntensity:11540.79;Errors:;F2minusF1Shift:-1.6;FluorescenceClassification:Normal;Focus_FracImageLost:0.00;FocusScoresAvg:2.97;FocusScoresImageCenter:3.80;FocusScoresMax:4.47;FocusScoresMedian:2.98;FractionImageDebris:0.1180;FractionWellsDebris:0.1292;ImageQualityScoreIfUnpegged:1.00;IndexingWellsMissingFromFov:0;IndexingWellsTotalLostBothVisibleAndMissing:0;IndexingWellsVisibleInFovButRemoved:0;L1DR time (ms):28914;NetBeadFillRate:22.38;NormalizedFillPercentage:031.84;Notes:;NumberDecSaturated:0;NumberEmpties:78611;NumberFlagged_DeadPixels:70.0000;NumberFlagged_Debris:24853.0000;NumberFlagged_MissingNeighbor:2191.0000;NumberFlagged_OutOfBounds:3546.0000;NumberInvalidWells:28273;NumberPositiveEmpties:76;NumberPositives:41754;NumberResSaturated:0;NumberSaturatedWithoutDebris:0;NumberValidUnclassified:48716.00;NumberValidWells:164042;OddlyAggregatedFlag:2;OddlyAggregatedLocations:;OddlyAggregatedWorst:0;OffsetW488:( 0, 0 );OffsetW577:( 0, 0 );OffsetW647:( 0, 1 );OffsetW700:( 0, 0 );OffsetW750:( 0, 0 );ResorufinUnsaturated:0;ResorufinUnsaturatedMutated:0;ResorufinUnsaturaterNumberInFit:32;SaturatedDecodingWells:0;SuspiciousWells:22633;SuspiciousWellsFlagged:1;SuspiciousWellsLowerThreshold:3;Warnings:;WhiteLightChannelMedian:9784;XtalkSubregionsOutOfSpec:0</t>
  </si>
  <si>
    <t>0002_DecodingIntensityStdDev_577F1:64.256;0002_DecodingIntensityStdDev_577F2:132.242;0002_MeanDecodingIntensity_577F1:465.90;0002_MeanDecodingIntensity_577F2:536.63;0002AEB:00.4095;0002DecodingIntensityStdDev:349.463;0002DecodingIntensityStdDev_488:349.463;0002DecodingIntensityStdDev_647:4.832;0002DecodingIntensityStdDev_700:4.770;0002DecodingIntensityStdDev_750:6.004;0002F_on:0.3360;0002FillPercent:012.91;0002KineticInconsistentLower:0;0002KineticInconsistentMetadata:-413.604562892268|2.09;0002MeanDecodingIntensity:1521.07;0002MeanDecodingIntensity_488:1521.07;0002MeanDecodingIntensity_647:34.64;0002MeanDecodingIntensity_700:30.06;0002MeanDecodingIntensity_750:34.64;0002ReflectiveIntensity:12808.39;0002ReflectiveIntensityStdDev:599.744;0002SealTimeEstimate:25.4;0021_DecodingIntensityStdDev_577F1:57.734;0021_DecodingIntensityStdDev_577F2:119.197;0021_MeanDecodingIntensity_577F1:462.08;0021_MeanDecodingIntensity_577F2:535.01;0021AEB:-;0021DecodingIntensityStdDev:84.964;0021DecodingIntensityStdDev_488:21.407;0021DecodingIntensityStdDev_647:84.964;0021DecodingIntensityStdDev_700:9.871;0021DecodingIntensityStdDev_750:6.131;0021F_on:0.7321;0021FillPercent:007.90;0021KineticInconsistentLower:0;0021KineticInconsistentMetadata:-410.976766490995|2.09;0021MeanDecodingIntensity:412.05;0021MeanDecodingIntensity_488:134.94;0021MeanDecodingIntensity_647:412.05;0021MeanDecodingIntensity_700:67.25;0021MeanDecodingIntensity_750:34.65;0021ReflectiveIntensity:12582.92;0021ReflectiveIntensityStdDev:499.168;0021SealTimeEstimate:25.4;0201_DecodingIntensityStdDev_577F1:58.726;0201_DecodingIntensityStdDev_577F2:119.816;0201_MeanDecodingIntensity_577F1:460.08;0201_MeanDecodingIntensity_577F2:531.38;0201AEB:-;0201DecodingIntensityStdDev:109.389;0201DecodingIntensityStdDev_488:24.511;0201DecodingIntensityStdDev_647:16.248;0201DecodingIntensityStdDev_700:109.389;0201DecodingIntensityStdDev_750:10.669;0201F_on:0.7153;0201FillPercent:008.87;0201KineticInconsistentLower:0;0201KineticInconsistentMetadata:-414.194478856793|2.1;0201MeanDecodingIntensity:484.03;0201MeanDecodingIntensity_488:136.54;0201MeanDecodingIntensity_647:96.81;0201MeanDecodingIntensity_700:484.03;0201MeanDecodingIntensity_750:63.89;0201ReflectiveIntensity:12611.11;0201ReflectiveIntensityStdDev:512.810;0201SealTimeEstimate:25.1;2001_DecodingIntensityStdDev_577F1:57.796;2001_DecodingIntensityStdDev_577F2:114.682;2001_MeanDecodingIntensity_577F1:489.92;2001_MeanDecodingIntensity_577F2:560.90;2001AEB:-;2001DecodingIntensityStdDev:218.218;2001DecodingIntensityStdDev_488:23.218;2001DecodingIntensityStdDev_647:5.319;2001DecodingIntensityStdDev_700:5.593;2001DecodingIntensityStdDev_750:218.218;2001F_on:0.7145;2001FillPercent:008.50;2001KineticInconsistentLower:0;2001KineticInconsistentMetadata:-411.736513739308|2.03;2001MeanDecodingIntensity:943.15;2001MeanDecodingIntensity_488:136.67;2001MeanDecodingIntensity_647:37.63;2001MeanDecodingIntensity_700:34.07;2001MeanDecodingIntensity_750:943.15;2001ReflectiveIntensity:12622.72;2001ReflectiveIntensityStdDev:531.030;2001SealTimeEstimate:26.9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11.44;Empties488F1MeanIntensity:67.82;Empties577F1IntensityStdDev:27.15;Empties577F1MeanIntensity:385.58;Empties577F2IntensityStdDev:46.81;Empties577F2MeanIntensity:385.28;Empties647F1IntensityStdDev:4.37;Empties647F1MeanIntensity:31.52;Empties700F1IntensityStdDev:4.34;Empties700F1MeanIntensity:29.34;Empties750F1IntensityStdDev:5.23;Empties750F1MeanIntensity:33.55;EmptiesIGrowth:269.95;EmptiesReflectiveIntensityStdDev:295.62;EmptiesReflectiveMeanIntensity:11407.65;Errors:;F2minusF1Shift:-2.5;FluorescenceClassification:Normal;Focus_FracImageLost:0.00;FocusScoresAvg:3.15;FocusScoresImageCenter:3.98;FocusScoresMax:4.54;FocusScoresMedian:3.24;FractionImageDebris:0.1272;FractionWellsDebris:0.1427;ImageQualityScoreIfUnpegged:1.00;IndexingWellsMissingFromFov:0;IndexingWellsTotalLostBothVisibleAndMissing:0;IndexingWellsVisibleInFovButRemoved:0;L1DR time (ms):29597;NetBeadFillRate:26.81;NormalizedFillPercentage:038.19;Notes:Xtalk: usable out of spec wv 700 sr 8 dir 5 value 0.036.;NumberDecSaturated:0;NumberEmpties:68239;NumberFlagged_DeadPixels:78.0000;NumberFlagged_Debris:27444.0000;NumberFlagged_MissingNeighbor:2691.0000;NumberFlagged_NeighborSaturated:06.0000;NumberFlagged_OddlyRecurrentClassification:9588.0000;NumberFlagged_OutOfBounds:3849.0000;NumberFlagged_SaturatedPixelResorufinTwo:01.0000;NumberInvalidWells:35060;NumberPositiveEmpties:112;NumberPositives:53240;NumberResSaturated:1;NumberSaturatedWithoutDebris:1;NumberValidUnclassified:46868.00;NumberValidWells:157267;OddlyAggregatedFlag:2;OddlyAggregatedLocations:;OddlyAggregatedWorst:0;OffsetW488:( 1, 0 );OffsetW577:( 0, 0 );OffsetW647:( 0, 0 );OffsetW700:( 0, 0 );OffsetW750:( 0, 0 );ResorufinUnsaturated:0;ResorufinUnsaturatedMutated:0;ResorufinUnsaturaterNumberInFit:96;SaturatedDecodingWells:0;SuspiciousWells:21792;SuspiciousWellsFlagged:1;SuspiciousWellsLowerThreshold:4;Warnings:;WhiteLightChannelMedian:9631;XtalkSubregionsOutOfSpec:0</t>
  </si>
  <si>
    <t>0002_DecodingIntensityStdDev_577F1:49.010;0002_DecodingIntensityStdDev_577F2:109.310;0002_MeanDecodingIntensity_577F1:455.93;0002_MeanDecodingIntensity_577F2:522.75;0002AEB:00.3999;0002DecodingIntensityStdDev:342.061;0002DecodingIntensityStdDev_488:342.061;0002DecodingIntensityStdDev_647:4.740;0002DecodingIntensityStdDev_700:4.538;0002DecodingIntensityStdDev_750:5.711;0002F_on:0.3296;0002FillPercent:012.52;0002KineticInconsistentLower:0;0002KineticInconsistentMetadata:-505.806968374598|2.31;0002MeanDecodingIntensity:1577.94;0002MeanDecodingIntensity_488:1577.94;0002MeanDecodingIntensity_647:34.58;0002MeanDecodingIntensity_700:29.93;0002MeanDecodingIntensity_750:34.52;0002ReflectiveIntensity:12879.51;0002ReflectiveIntensityStdDev:612.234;0002SealTimeEstimate:20.9;0021_DecodingIntensityStdDev_577F1:41.227;0021_DecodingIntensityStdDev_577F2:92.908;0021_MeanDecodingIntensity_577F1:451.36;0021_MeanDecodingIntensity_577F2:520.78;0021AEB:-;0021DecodingIntensityStdDev:84.340;0021DecodingIntensityStdDev_488:20.316;0021DecodingIntensityStdDev_647:84.340;0021DecodingIntensityStdDev_700:9.694;0021DecodingIntensityStdDev_750:5.862;0021F_on:0.7291;0021FillPercent:007.48;0021KineticInconsistentLower:0;0021KineticInconsistentMetadata:-520.18940850373|2.35;0021MeanDecodingIntensity:420.92;0021MeanDecodingIntensity_488:134.37;0021MeanDecodingIntensity_647:420.92;0021MeanDecodingIntensity_700:68.26;0021MeanDecodingIntensity_750:34.44;0021ReflectiveIntensity:12629.75;0021ReflectiveIntensityStdDev:500.549;0021SealTimeEstimate:20.3;0201_DecodingIntensityStdDev_577F1:48.412;0201_DecodingIntensityStdDev_577F2:110.451;0201_MeanDecodingIntensity_577F1:450.86;0201_MeanDecodingIntensity_577F2:520.05;0201AEB:-;0201DecodingIntensityStdDev:109.118;0201DecodingIntensityStdDev_488:22.405;0201DecodingIntensityStdDev_647:17.100;0201DecodingIntensityStdDev_700:109.118;0201DecodingIntensityStdDev_750:10.433;0201F_on:0.7178;0201FillPercent:008.44;0201KineticInconsistentLower:0;0201KineticInconsistentMetadata:-501.154736586277|2.31;0201MeanDecodingIntensity:496.97;0201MeanDecodingIntensity_488:136.45;0201MeanDecodingIntensity_647:97.82;0201MeanDecodingIntensity_700:496.97;0201MeanDecodingIntensity_750:64.12;0201ReflectiveIntensity:12669.92;0201ReflectiveIntensityStdDev:518.128;0201SealTimeEstimate:20.9;2001_DecodingIntensityStdDev_577F1:50.641;2001_DecodingIntensityStdDev_577F2:111.928;2001_MeanDecodingIntensity_577F1:481.26;2001_MeanDecodingIntensity_577F2:550.30;2001AEB:-;2001DecodingIntensityStdDev:218.444;2001DecodingIntensityStdDev_488:21.853;2001DecodingIntensityStdDev_647:5.242;2001DecodingIntensityStdDev_700:5.300;2001DecodingIntensityStdDev_750:218.444;2001F_on:0.7102;2001FillPercent:008.15;2001KineticInconsistentLower:0;2001KineticInconsistentMetadata:-509.661784614331|2.25;2001MeanDecodingIntensity:951.54;2001MeanDecodingIntensity_488:136.06;2001MeanDecodingIntensity_647:37.76;2001MeanDecodingIntensity_700:34.08;2001MeanDecodingIntensity_750:951.54;2001ReflectiveIntensity:12665.17;2001ReflectiveIntensityStdDev:532.503;2001SealTimeEstimate:22.0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10.62;Empties488F1MeanIntensity:67.06;Empties577F1IntensityStdDev:19.76;Empties577F1MeanIntensity:380.69;Empties577F2IntensityStdDev:34.42;Empties577F2MeanIntensity:377.90;Empties647F1IntensityStdDev:4.20;Empties647F1MeanIntensity:31.41;Empties700F1IntensityStdDev:4.13;Empties700F1MeanIntensity:29.23;Empties750F1IntensityStdDev:4.92;Empties750F1MeanIntensity:33.34;EmptiesIGrowth:231.48;EmptiesReflectiveIntensityStdDev:296.63;EmptiesReflectiveMeanIntensity:11467.71;Errors:;F2minusF1Shift:-0.4;FluorescenceClassification:Normal;Focus_FracImageLost:0.00;FocusScoresAvg:3.15;FocusScoresImageCenter:4.11;FocusScoresMax:4.78;FocusScoresMedian:3.12;FractionImageDebris:0.1435;FractionWellsDebris:0.1245;ImageQualityScoreIfUnpegged:1.00;IndexingWellsMissingFromFov:3363;IndexingWellsTotalLostBothVisibleAndMissing:5592;IndexingWellsVisibleInFovButRemoved:2229;L1DR time (ms):27525;NetBeadFillRate:25.70;NormalizedFillPercentage:036.59;Notes:Indexing: stripe across bottom;NumberDecSaturated:0;NumberEmpties:68818;NumberFlagged_DeadPixels:78.0000;NumberFlagged_Debris:23084.0000;NumberFlagged_MissingNeighbor:5273.0000;NumberFlagged_OddlyRecurrentClassification:12522.0000;NumberFlagged_OutOfBounds:3049.0000;NumberInvalidWells:30855;NumberPositiveEmpties:117;NumberPositives:48399;NumberResSaturated:0;NumberSaturatedWithoutDebris:0;NumberValidUnclassified:45988.00;NumberValidWells:154515;OddlyAggregatedFlag:2;OddlyAggregatedLocations:;OddlyAggregatedWorst:0;OffsetW488:( 1, 0 );OffsetW577:( 0, 0 );OffsetW647:( 0, 0 );OffsetW700:( 0, 0 );OffsetW750:( 0, 0 );ResorufinUnsaturated:0;ResorufinUnsaturatedMutated:0;ResorufinUnsaturaterNumberInFit:46;SaturatedDecodingWells:0;SuspiciousWells:26704;SuspiciousWellsFlagged:1;SuspiciousWellsLowerThreshold:3;Warnings:;WhiteLightChannelMedian:9588;XtalkSubregionsOutOfSpec:0</t>
  </si>
  <si>
    <t>control+spike</t>
  </si>
  <si>
    <t>Plate 1 - Well H5</t>
  </si>
  <si>
    <t>0002_DecodingIntensityStdDev_577F1:38.138;0002_DecodingIntensityStdDev_577F2:74.843;0002_MeanDecodingIntensity_577F1:409.30;0002_MeanDecodingIntensity_577F2:417.53;0002AEB:00.0302;0002DecodingIntensityStdDev:326.328;0002DecodingIntensityStdDev_488:326.328;0002DecodingIntensityStdDev_647:4.550;0002DecodingIntensityStdDev_700:4.232;0002DecodingIntensityStdDev_750:5.285;0002F_on:0.0298;0002FillPercent:011.20;0002KineticInconsistentLower:0;0002KineticInconsistentMetadata:-475.587178365439|2.26;0002MeanDecodingIntensity:1589.53;0002MeanDecodingIntensity_488:1589.53;0002MeanDecodingIntensity_647:34.60;0002MeanDecodingIntensity_700:29.95;0002MeanDecodingIntensity_750:34.35;0002ReflectiveIntensity:13055.40;0002ReflectiveIntensityStdDev:591.543;0002SealTimeEstimate:21.8;0021_DecodingIntensityStdDev_577F1:27.958;0021_DecodingIntensityStdDev_577F2:52.490;0021_MeanDecodingIntensity_577F1:400.91;0021_MeanDecodingIntensity_577F2:405.74;0021AEB:00.0116;0021DecodingIntensityStdDev:82.129;0021DecodingIntensityStdDev_488:17.634;0021DecodingIntensityStdDev_647:82.129;0021DecodingIntensityStdDev_700:9.362;0021DecodingIntensityStdDev_750:5.238;0021F_on:0.0115;0021FillPercent:006.83;0021KineticInconsistentLower:0;0021KineticInconsistentMetadata:-570.455869548512|2.46;0021MeanDecodingIntensity:439.82;0021MeanDecodingIntensity_488:134.69;0021MeanDecodingIntensity_647:439.82;0021MeanDecodingIntensity_700:70.76;0021MeanDecodingIntensity_750:34.14;0021ReflectiveIntensity:12816.02;0021ReflectiveIntensityStdDev:516.459;0021SealTimeEstimate:18.7;0201_DecodingIntensityStdDev_577F1:28.939;0201_DecodingIntensityStdDev_577F2:54.034;0201_MeanDecodingIntensity_577F1:399.82;0201_MeanDecodingIntensity_577F2:404.95;0201AEB:00.0135;0201DecodingIntensityStdDev:97.035;0201DecodingIntensityStdDev_488:18.591;0201DecodingIntensityStdDev_647:13.579;0201DecodingIntensityStdDev_700:97.035;0201DecodingIntensityStdDev_750:8.771;0201F_on:0.0134;0201FillPercent:007.29;0201KineticInconsistentLower:0;0201KineticInconsistentMetadata:-513.87707715693|2.34;0201MeanDecodingIntensity:523.42;0201MeanDecodingIntensity_488:135.63;0201MeanDecodingIntensity_647:98.80;0201MeanDecodingIntensity_700:523.42;0201MeanDecodingIntensity_750:64.75;0201ReflectiveIntensity:12822.83;0201ReflectiveIntensityStdDev:506.796;0201SealTimeEstimate:20.4;2001_DecodingIntensityStdDev_577F1:32.369;2001_DecodingIntensityStdDev_577F2:59.984;2001_MeanDecodingIntensity_577F1:433.99;2001_MeanDecodingIntensity_577F2:439.64;2001AEB:00.0181;2001DecodingIntensityStdDev:205.325;2001DecodingIntensityStdDev_488:18.277;2001DecodingIntensityStdDev_647:4.795;2001DecodingIntensityStdDev_700:4.730;2001DecodingIntensityStdDev_750:205.325;2001F_on:0.0179;2001FillPercent:007.05;2001KineticInconsistentLower:0;2001KineticInconsistentMetadata:-554.802521251168|2.34;2001MeanDecodingIntensity:1035.56;2001MeanDecodingIntensity_488:135.90;2001MeanDecodingIntensity_647:37.98;2001MeanDecodingIntensity_700:34.14;2001MeanDecodingIntensity_750:1035.56;2001ReflectiveIntensity:12840.23;2001ReflectiveIntensityStdDev:534.848;2001SealTimeEstimate:20.4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9.83;Empties488F1MeanIntensity:65.59;Empties577F1IntensityStdDev:19.33;Empties577F1MeanIntensity:369.21;Empties577F2IntensityStdDev:20.69;Empties577F2MeanIntensity:367.28;Empties647F1IntensityStdDev:4.04;Empties647F1MeanIntensity:31.52;Empties700F1IntensityStdDev:3.87;Empties700F1MeanIntensity:29.25;Empties750F1IntensityStdDev:4.62;Empties750F1MeanIntensity:33.40;EmptiesIGrowth:374.32;EmptiesReflectiveIntensityStdDev:364.12;EmptiesReflectiveMeanIntensity:11650.49;Errors:;F2minusF1Shift:1.0;FluorescenceClassification:Normal;Focus_FracImageLost:0.00;FocusScoresAvg:3.04;FocusScoresImageCenter:4.00;FocusScoresMax:4.81;FocusScoresMedian:3.01;FractionImageDebris:0.0793;FractionWellsDebris:0.0622;ImageQualityScoreIfUnpegged:1.00;IndexingWellsMissingFromFov:4563;IndexingWellsTotalLostBothVisibleAndMissing:5592;IndexingWellsVisibleInFovButRemoved:1029;L1DR time (ms):28512;NetBeadFillRate:22.76;NormalizedFillPercentage:032.36;Notes:Indexing: stripe across bottom;NumberDecSaturated:0;NumberEmpties:81902;NumberFlagged_DeadPixels:80.0000;NumberFlagged_Debris:11635.0000;NumberFlagged_MissingNeighbor:2448.0000;NumberFlagged_OutOfBounds:3043.0000;NumberInvalidWells:14988;NumberPositiveEmpties:9;NumberPositives:1443;NumberResSaturated:0;NumberSaturatedWithoutDebris:0;NumberValidUnclassified:51065.00;NumberValidWells:172157;OddlyAggregatedFlag:2;OddlyAggregatedLocations:;OddlyAggregatedWorst:0;OffsetW488:( 0, 0 );OffsetW577:( 0, 0 );OffsetW647:( 0, 0 );OffsetW700:( 0, 0 );OffsetW750:( 0, 0 );ResorufinUnsaturated:0;ResorufinUnsaturatedMutated:0;ResorufinUnsaturaterNumberInFit:17;SaturatedDecodingWells:0;SuspiciousWells:29900;SuspiciousWellsFlagged:1;SuspiciousWellsLowerThreshold:2;Warnings:;WhiteLightChannelMedian:9741;XtalkSubregionsOutOfSpec:0</t>
  </si>
  <si>
    <t>DataReduction.L2.AebOutOfCalibrationRangeBelow</t>
  </si>
  <si>
    <t>AEB Automatically Included; Concentration Automatically Excluded</t>
  </si>
  <si>
    <t>0002_DecodingIntensityStdDev_577F1:32.884;0002_DecodingIntensityStdDev_577F2:63.036;0002_MeanDecodingIntensity_577F1:407.06;0002_MeanDecodingIntensity_577F2:414.94;0002AEB:00.0277;0002DecodingIntensityStdDev:357.985;0002DecodingIntensityStdDev_488:357.985;0002DecodingIntensityStdDev_647:4.875;0002DecodingIntensityStdDev_700:4.781;0002DecodingIntensityStdDev_750:5.990;0002F_on:0.0273;0002FillPercent:013.26;0002KineticInconsistentLower:0;0002KineticInconsistentMetadata:-552.447778549971|2.42;0002MeanDecodingIntensity:1552.13;0002MeanDecodingIntensity_488:1552.13;0002MeanDecodingIntensity_647:34.64;0002MeanDecodingIntensity_700:30.29;0002MeanDecodingIntensity_750:35.07;0002ReflectiveIntensity:13035.71;0002ReflectiveIntensityStdDev:598.694;0002SealTimeEstimate:19.2;0021_DecodingIntensityStdDev_577F1:25.111;0021_DecodingIntensityStdDev_577F2:46.976;0021_MeanDecodingIntensity_577F1:399.22;0021_MeanDecodingIntensity_577F2:404.02;0021AEB:00.0102;0021DecodingIntensityStdDev:88.855;0021DecodingIntensityStdDev_488:21.261;0021DecodingIntensityStdDev_647:88.855;0021DecodingIntensityStdDev_700:10.128;0021DecodingIntensityStdDev_750:5.943;0021F_on:0.0102;0021FillPercent:008.02;0021KineticInconsistentLower:0;0021KineticInconsistentMetadata:-550.588849818106|2.43;0021MeanDecodingIntensity:428.78;0021MeanDecodingIntensity_488:133.97;0021MeanDecodingIntensity_647:428.78;0021MeanDecodingIntensity_700:69.28;0021MeanDecodingIntensity_750:35.01;0021ReflectiveIntensity:12801.89;0021ReflectiveIntensityStdDev:497.090;0021SealTimeEstimate:19.1;0201_DecodingIntensityStdDev_577F1:27.328;0201_DecodingIntensityStdDev_577F2:50.659;0201_MeanDecodingIntensity_577F1:398.42;0201_MeanDecodingIntensity_577F2:403.85;0201AEB:00.0145;0201DecodingIntensityStdDev:108.162;0201DecodingIntensityStdDev_488:22.386;0201DecodingIntensityStdDev_647:15.213;0201DecodingIntensityStdDev_700:108.162;0201DecodingIntensityStdDev_750:10.014;0201F_on:0.0144;0201FillPercent:009.11;0201KineticInconsistentLower:0;0201KineticInconsistentMetadata:-484.317307757734|2.3;0201MeanDecodingIntensity:500.38;0201MeanDecodingIntensity_488:135.17;0201MeanDecodingIntensity_647:98.40;0201MeanDecodingIntensity_700:500.38;0201MeanDecodingIntensity_750:65.26;0201ReflectiveIntensity:12817.68;0201ReflectiveIntensityStdDev:497.172;0201SealTimeEstimate:21.1;2001_DecodingIntensityStdDev_577F1:31.665;2001_DecodingIntensityStdDev_577F2:57.966;2001_MeanDecodingIntensity_577F1:430.50;2001_MeanDecodingIntensity_577F2:436.25;2001AEB:00.0137;2001DecodingIntensityStdDev:221.542;2001DecodingIntensityStdDev_488:22.386;2001DecodingIntensityStdDev_647:5.160;2001DecodingIntensityStdDev_700:5.251;2001DecodingIntensityStdDev_750:221.542;2001F_on:0.0136;2001FillPercent:008.64;2001KineticInconsistentLower:0;2001KineticInconsistentMetadata:-577.6591473195|2.4;2001MeanDecodingIntensity:1008.45;2001MeanDecodingIntensity_488:135.49;2001MeanDecodingIntensity_647:37.94;2001MeanDecodingIntensity_700:34.41;2001MeanDecodingIntensity_750:1008.45;2001ReflectiveIntensity:12827.41;2001ReflectiveIntensityStdDev:529.657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11.61;Empties488F1MeanIntensity:65.50;Empties577F1IntensityStdDev:16.11;Empties577F1MeanIntensity:372.23;Empties577F2IntensityStdDev:18.35;Empties577F2MeanIntensity:370.70;Empties647F1IntensityStdDev:4.38;Empties647F1MeanIntensity:31.55;Empties700F1IntensityStdDev:4.40;Empties700F1MeanIntensity:29.55;Empties750F1IntensityStdDev:5.26;Empties750F1MeanIntensity:33.88;EmptiesIGrowth:376.10;EmptiesReflectiveIntensityStdDev:323.30;EmptiesReflectiveMeanIntensity:11643.30;Errors:;F2minusF1Shift:0.0;FluorescenceClassification:Normal;Focus_FracImageLost:0.02;FocusScoresAvg:3.10;FocusScoresImageCenter:4.62;FocusScoresMax:5.03;FocusScoresMedian:3.20;FractionImageDebris:0.0939;FractionWellsDebris:0.0865;ImageQualityScoreIfUnpegged:1.00;IndexingWellsMissingFromFov:1778;IndexingWellsTotalLostBothVisibleAndMissing:3728;IndexingWellsVisibleInFovButRemoved:1950;L1DR time (ms):28194;NetBeadFillRate:27.41;NormalizedFillPercentage:039.03;Notes:Indexing: stripe across bottom | Xtalk: usable out of spec wv 488 sr 4 dir 5 value 0.041.;NumberDecSaturated:0;NumberEmpties:70888;NumberFlagged_DeadPixels:87.0000;NumberFlagged_Debris:16332.0000;NumberFlagged_MissingNeighbor:2658.0000;NumberFlagged_NeighborSaturated:06.0000;NumberFlagged_OutOfBounds:3145.0000;NumberFlagged_OutOfFocus:3929.0000;NumberFlagged_SaturatedPixelResorufinTwo:01.0000;NumberInvalidWells:23251;NumberPositiveEmpties:11;NumberPositives:1670;NumberResSaturated:1;NumberSaturatedWithoutDebris:1;NumberValidUnclassified:49326.00;NumberValidWells:165602;OddlyAggregatedFlag:2;OddlyAggregatedLocations:;OddlyAggregatedWorst:0;OffsetW488:( 0, -1 );OffsetW577:( 0, 0 );OffsetW647:( 0, 0 );OffsetW700:( 0, -1 );OffsetW750:( 0, -1 );ResorufinUnsaturated:0;ResorufinUnsaturatedMutated:0;ResorufinUnsaturaterNumberInFit:12;SaturatedDecodingWells:0;SuspiciousWells:19246;SuspiciousWellsFlagged:1;SuspiciousWellsLowerThreshold:4;Warnings:;WhiteLightChannelMedian:9838;XtalkSubregionsOutOfSpec:0</t>
  </si>
  <si>
    <t>0002_DecodingIntensityStdDev_577F1:44.998;0002_DecodingIntensityStdDev_577F2:87.474;0002_MeanDecodingIntensity_577F1:409.24;0002_MeanDecodingIntensity_577F2:420.13;0002AEB:00.0467;0002DecodingIntensityStdDev:346.018;0002DecodingIntensityStdDev_488:346.018;0002DecodingIntensityStdDev_647:4.689;0002DecodingIntensityStdDev_700:4.532;0002DecodingIntensityStdDev_750:5.706;0002F_on:0.0456;0002FillPercent:012.98;0002KineticInconsistentLower:0;0002KineticInconsistentMetadata:-500.326700390506|2.33;0002MeanDecodingIntensity:1623.38;0002MeanDecodingIntensity_488:1623.38;0002MeanDecodingIntensity_647:34.71;0002MeanDecodingIntensity_700:30.06;0002MeanDecodingIntensity_750:34.69;0002ReflectiveIntensity:13262.59;0002ReflectiveIntensityStdDev:648.097;0002SealTimeEstimate:20.6;0021_DecodingIntensityStdDev_577F1:34.876;0021_DecodingIntensityStdDev_577F2:62.609;0021_MeanDecodingIntensity_577F1:400.06;0021_MeanDecodingIntensity_577F2:406.25;0021AEB:00.0229;0021DecodingIntensityStdDev:85.025;0021DecodingIntensityStdDev_488:20.051;0021DecodingIntensityStdDev_647:85.025;0021DecodingIntensityStdDev_700:9.540;0021DecodingIntensityStdDev_750:5.663;0021F_on:0.0227;0021FillPercent:007.81;0021KineticInconsistentLower:0;0021KineticInconsistentMetadata:-457.209039908241|2.26;0021MeanDecodingIntensity:433.55;0021MeanDecodingIntensity_488:134.34;0021MeanDecodingIntensity_647:433.55;0021MeanDecodingIntensity_700:69.76;0021MeanDecodingIntensity_750:34.52;0021ReflectiveIntensity:12995.67;0021ReflectiveIntensityStdDev:550.031;0021SealTimeEstimate:21.8;0201_DecodingIntensityStdDev_577F1:34.998;0201_DecodingIntensityStdDev_577F2:64.856;0201_MeanDecodingIntensity_577F1:399.19;0201_MeanDecodingIntensity_577F2:406.01;0201AEB:00.0224;0201DecodingIntensityStdDev:101.086;0201DecodingIntensityStdDev_488:21.428;0201DecodingIntensityStdDev_647:14.880;0201DecodingIntensityStdDev_700:101.086;0201DecodingIntensityStdDev_750:9.574;0201F_on:0.0221;0201FillPercent:008.51;0201KineticInconsistentLower:0;0201KineticInconsistentMetadata:-516.89080393075|2.4;0201MeanDecodingIntensity:518.27;0201MeanDecodingIntensity_488:136.00;0201MeanDecodingIntensity_647:98.85;0201MeanDecodingIntensity_700:518.27;0201MeanDecodingIntensity_750:65.09;0201ReflectiveIntensity:13024.43;0201ReflectiveIntensityStdDev:553.469;0201SealTimeEstimate:19.5;2001_DecodingIntensityStdDev_577F1:36.824;2001_DecodingIntensityStdDev_577F2:65.242;2001_MeanDecodingIntensity_577F1:430.67;2001_MeanDecodingIntensity_577F2:437.02;2001AEB:00.0226;2001DecodingIntensityStdDev:203.865;2001DecodingIntensityStdDev_488:21.420;2001DecodingIntensityStdDev_647:5.037;2001DecodingIntensityStdDev_700:5.085;2001DecodingIntensityStdDev_750:203.865;2001F_on:0.0223;2001FillPercent:008.30;2001KineticInconsistentLower:0;2001KineticInconsistentMetadata:-520.327376273803|2.32;2001MeanDecodingIntensity:996.27;2001MeanDecodingIntensity_488:136.06;2001MeanDecodingIntensity_647:37.89;2001MeanDecodingIntensity_700:34.20;2001MeanDecodingIntensity_750:996.27;2001ReflectiveIntensity:13028.11;2001ReflectiveIntensityStdDev:570.789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11.11;Empties488F1MeanIntensity:65.62;Empties577F1IntensityStdDev:30.44;Empties577F1MeanIntensity:362.34;Empties577F2IntensityStdDev:30.32;Empties577F2MeanIntensity:361.01;Empties647F1IntensityStdDev:4.25;Empties647F1MeanIntensity:31.61;Empties700F1IntensityStdDev:4.21;Empties700F1MeanIntensity:29.40;Empties750F1IntensityStdDev:5.07;Empties750F1MeanIntensity:33.68;EmptiesIGrowth:155.42;EmptiesReflectiveIntensityStdDev:373.89;EmptiesReflectiveMeanIntensity:11822.89;Errors:;F2minusF1Shift:-0.4;FluorescenceClassification:Normal;Focus_FracImageLost:0.00;FocusScoresAvg:3.29;FocusScoresImageCenter:4.32;FocusScoresMax:4.99;FocusScoresMedian:3.29;FractionImageDebris:0.0429;FractionWellsDebris:0.0492;ImageQualityScoreIfUnpegged:1.00;IndexingWellsMissingFromFov:0;IndexingWellsTotalLostBothVisibleAndMissing:0;IndexingWellsVisibleInFovButRemoved:0;L1DR time (ms):28485;NetBeadFillRate:26.42;NormalizedFillPercentage:037.60;Notes:;NumberDecSaturated:0;NumberEmpties:78198;NumberFlagged_DeadPixels:71.0000;NumberFlagged_Debris:9482.0000;NumberFlagged_MissingNeighbor:2771.0000;NumberFlagged_OddlyRecurrentClassification:102.0000;NumberFlagged_OutOfBounds:4094.0000;NumberInvalidWells:14202;NumberPositiveEmpties:9;NumberPositives:2504;NumberResSaturated:0;NumberSaturatedWithoutDebris:0;NumberValidUnclassified:53026.00;NumberValidWells:178347;OddlyAggregatedFlag:2;OddlyAggregatedLocations:;OddlyAggregatedWorst:0;OffsetW488:( 1, 0 );OffsetW577:( 0, 0 );OffsetW647:( 0, 0 );OffsetW700:( 0, 0 );OffsetW750:( 0, 0 );ResorufinUnsaturated:0;ResorufinUnsaturatedMutated:0;ResorufinUnsaturaterNumberInFit:17;SaturatedDecodingWells:0;SuspiciousWells:30333;SuspiciousWellsFlagged:1;SuspiciousWellsLowerThreshold:3;Warnings:;WhiteLightChannelMedian:9918;XtalkSubregionsOutOfSpec:0</t>
  </si>
  <si>
    <t>low-1-8-1</t>
  </si>
  <si>
    <t>Plate 1 - Well A7</t>
  </si>
  <si>
    <t>0002_DecodingIntensityStdDev_577F1:44.021;0002_DecodingIntensityStdDev_577F2:91.254;0002_MeanDecodingIntensity_577F1:413.51;0002_MeanDecodingIntensity_577F2:423.79;0002AEB:00.0359;0002DecodingIntensityStdDev:350.139;0002DecodingIntensityStdDev_488:350.139;0002DecodingIntensityStdDev_647:4.701;0002DecodingIntensityStdDev_700:4.531;0002DecodingIntensityStdDev_750:5.637;0002F_on:0.0353;0002FillPercent:013.60;0002KineticInconsistentLower:0;0002KineticInconsistentMetadata:-634.850103417158|2.62;0002MeanDecodingIntensity:1533.56;0002MeanDecodingIntensity_488:1533.56;0002MeanDecodingIntensity_647:34.20;0002MeanDecodingIntensity_700:29.79;0002MeanDecodingIntensity_750:34.29;0002ReflectiveIntensity:12850.93;0002ReflectiveIntensityStdDev:581.941;0002SealTimeEstimate:16.8;0021_DecodingIntensityStdDev_577F1:40.165;0021_DecodingIntensityStdDev_577F2:84.512;0021_MeanDecodingIntensity_577F1:406.81;0021_MeanDecodingIntensity_577F2:415.66;0021AEB:00.0276;0021DecodingIntensityStdDev:82.886;0021DecodingIntensityStdDev_488:19.116;0021DecodingIntensityStdDev_647:82.886;0021DecodingIntensityStdDev_700:9.431;0021DecodingIntensityStdDev_750:5.662;0021F_on:0.0272;0021FillPercent:008.12;0021KineticInconsistentLower:0;0021KineticInconsistentMetadata:-629.873172754311|2.62;0021MeanDecodingIntensity:406.59;0021MeanDecodingIntensity_488:130.11;0021MeanDecodingIntensity_647:406.59;0021MeanDecodingIntensity_700:66.22;0021MeanDecodingIntensity_750:34.40;0021ReflectiveIntensity:12607.57;0021ReflectiveIntensityStdDev:469.379;0021SealTimeEstimate:16.8;0201_DecodingIntensityStdDev_577F1:39.515;0201_DecodingIntensityStdDev_577F2:81.910;0201_MeanDecodingIntensity_577F1:405.91;0201_MeanDecodingIntensity_577F2:414.68;0201AEB:00.0286;0201DecodingIntensityStdDev:104.997;0201DecodingIntensityStdDev_488:20.599;0201DecodingIntensityStdDev_647:14.762;0201DecodingIntensityStdDev_700:104.997;0201DecodingIntensityStdDev_750:9.468;0201F_on:0.0282;0201FillPercent:008.96;0201KineticInconsistentLower:0;0201KineticInconsistentMetadata:-636.488853028861|2.64;0201MeanDecodingIntensity:478.75;0201MeanDecodingIntensity_488:131.33;0201MeanDecodingIntensity_647:94.32;0201MeanDecodingIntensity_700:478.75;0201MeanDecodingIntensity_750:62.33;0201ReflectiveIntensity:12637.79;0201ReflectiveIntensityStdDev:483.217;0201SealTimeEstimate:16.6;2001_DecodingIntensityStdDev_577F1:43.695;2001_DecodingIntensityStdDev_577F2:87.916;2001_MeanDecodingIntensity_577F1:435.11;2001_MeanDecodingIntensity_577F2:444.43;2001AEB:00.0297;2001DecodingIntensityStdDev:203.853;2001DecodingIntensityStdDev_488:20.641;2001DecodingIntensityStdDev_647:4.974;2001DecodingIntensityStdDev_700:5.095;2001DecodingIntensityStdDev_750:203.853;2001F_on:0.0293;2001FillPercent:008.87;2001KineticInconsistentLower:0;2001KineticInconsistentMetadata:-672.456589199279|2.61;2001MeanDecodingIntensity:917.09;2001MeanDecodingIntensity_488:130.95;2001MeanDecodingIntensity_647:37.07;2001MeanDecodingIntensity_700:33.62;2001MeanDecodingIntensity_750:917.09;2001ReflectiveIntensity:12645.40;2001ReflectiveIntensityStdDev:500.894;2001SealTimeEstimate:16.9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10.44;Empties488F1MeanIntensity:63.83;Empties577F1IntensityStdDev:21.97;Empties577F1MeanIntensity:377.82;Empties577F2IntensityStdDev:28.04;Empties577F2MeanIntensity:375.95;Empties647F1IntensityStdDev:4.12;Empties647F1MeanIntensity:31.14;Empties700F1IntensityStdDev:4.05;Empties700F1MeanIntensity:29.04;Empties750F1IntensityStdDev:4.80;Empties750F1MeanIntensity:33.22;EmptiesIGrowth:497.31;EmptiesReflectiveIntensityStdDev:289.54;EmptiesReflectiveMeanIntensity:11498.71;Errors:;F2minusF1Shift:-0.7;FluorescenceClassification:Normal;Focus_FracImageLost:0.00;FocusScoresAvg:3.07;FocusScoresImageCenter:4.30;FocusScoresMax:4.85;FocusScoresMedian:3.10;FractionImageDebris:0.0913;FractionWellsDebris:0.0896;ImageQualityScoreIfUnpegged:1.00;IndexingWellsMissingFromFov:0;IndexingWellsTotalLostBothVisibleAndMissing:0;IndexingWellsVisibleInFovButRemoved:0;L1DR time (ms):27675;NetBeadFillRate:27.79;NormalizedFillPercentage:039.55;Notes:Xtalk: usable out of spec wv 577 sr 4 dir 5 value 0.041. | Xtalk: usable out of spec wv 577 sr 8 dir 5 value 0.046. | Xtalk: usable out of spec wv 577 sr 9 dir 5 value 0.036.;NumberDecSaturated:0;NumberEmpties:71903;NumberFlagged_DeadPixels:84.0000;NumberFlagged_Debris:17088.0000;NumberFlagged_MissingNeighbor:5249.0000;NumberFlagged_OddlyRecurrentClassification:3896.0000;NumberFlagged_OutOfBounds:3940.0000;NumberInvalidWells:21439;NumberPositiveEmpties:25;NumberPositives:2978;NumberResSaturated:0;NumberSaturatedWithoutDebris:0;NumberValidUnclassified:50332.00;NumberValidWells:169277;OddlyAggregatedFlag:2;OddlyAggregatedLocations:;OddlyAggregatedWorst:0;OffsetW488:( 1, -1 );OffsetW577:( 0, 0 );OffsetW647:( 0, 0 );OffsetW700:( 0, -1 );OffsetW750:( 0, -1 );ResorufinUnsaturated:0;ResorufinUnsaturatedMutated:0;ResorufinUnsaturaterNumberInFit:31;SaturatedDecodingWells:0;SuspiciousWells:21755;SuspiciousWellsFlagged:1;SuspiciousWellsLowerThreshold:3;Warnings:;WhiteLightChannelMedian:9733;XtalkSubregionsOutOfSpec:0</t>
  </si>
  <si>
    <t>0002_DecodingIntensityStdDev_577F1:44.887;0002_DecodingIntensityStdDev_577F2:92.432;0002_MeanDecodingIntensity_577F1:415.15;0002_MeanDecodingIntensity_577F2:425.85;0002AEB:00.0388;0002DecodingIntensityStdDev:353.817;0002DecodingIntensityStdDev_488:353.817;0002DecodingIntensityStdDev_647:4.705;0002DecodingIntensityStdDev_700:4.629;0002DecodingIntensityStdDev_750:5.805;0002F_on:0.0381;0002FillPercent:012.63;0002KineticInconsistentLower:0;0002KineticInconsistentMetadata:-559.573235032117|2.43;0002MeanDecodingIntensity:1594.89;0002MeanDecodingIntensity_488:1594.89;0002MeanDecodingIntensity_647:34.62;0002MeanDecodingIntensity_700:30.14;0002MeanDecodingIntensity_750:34.76;0002ReflectiveIntensity:13118.24;0002ReflectiveIntensityStdDev:605.131;0002SealTimeEstimate:19.1;0021_DecodingIntensityStdDev_577F1:43.198;0021_DecodingIntensityStdDev_577F2:89.191;0021_MeanDecodingIntensity_577F1:408.32;0021_MeanDecodingIntensity_577F2:416.78;0021AEB:00.0263;0021DecodingIntensityStdDev:84.746;0021DecodingIntensityStdDev_488:19.895;0021DecodingIntensityStdDev_647:84.746;0021DecodingIntensityStdDev_700:9.655;0021DecodingIntensityStdDev_750:5.890;0021F_on:0.0260;0021FillPercent:007.59;0021KineticInconsistentLower:0;0021KineticInconsistentMetadata:-571.87758939646|2.45;0021MeanDecodingIntensity:429.46;0021MeanDecodingIntensity_488:135.94;0021MeanDecodingIntensity_647:429.46;0021MeanDecodingIntensity_700:68.67;0021MeanDecodingIntensity_750:34.78;0021ReflectiveIntensity:12892.18;0021ReflectiveIntensityStdDev:533.453;0021SealTimeEstimate:18.8;0201_DecodingIntensityStdDev_577F1:50.441;0201_DecodingIntensityStdDev_577F2:106.173;0201_MeanDecodingIntensity_577F1:408.68;0201_MeanDecodingIntensity_577F2:418.54;0201AEB:00.0312;0201DecodingIntensityStdDev:114.914;0201DecodingIntensityStdDev_488:22.473;0201DecodingIntensityStdDev_647:19.380;0201DecodingIntensityStdDev_700:114.914;0201DecodingIntensityStdDev_750:10.440;0201F_on:0.0307;0201FillPercent:008.74;0201KineticInconsistentLower:0;0201KineticInconsistentMetadata:-543.908957851954|2.4;0201MeanDecodingIntensity:506.43;0201MeanDecodingIntensity_488:137.53;0201MeanDecodingIntensity_647:99.13;0201MeanDecodingIntensity_700:506.43;0201MeanDecodingIntensity_750:64.65;0201ReflectiveIntensity:12938.21;0201ReflectiveIntensityStdDev:556.968;0201SealTimeEstimate:19.5;2001_DecodingIntensityStdDev_577F1:54.883;2001_DecodingIntensityStdDev_577F2:110.099;2001_MeanDecodingIntensity_577F1:439.63;2001_MeanDecodingIntensity_577F2:449.86;2001AEB:00.0336;2001DecodingIntensityStdDev:220.585;2001DecodingIntensityStdDev_488:21.948;2001DecodingIntensityStdDev_647:5.099;2001DecodingIntensityStdDev_700:5.234;2001DecodingIntensityStdDev_750:220.585;2001F_on:0.0330;2001FillPercent:008.24;2001KineticInconsistentLower:0;2001KineticInconsistentMetadata:-606.070330500986|2.43;2001MeanDecodingIntensity:954.48;2001MeanDecodingIntensity_488:137.43;2001MeanDecodingIntensity_647:37.75;2001MeanDecodingIntensity_700:34.14;2001MeanDecodingIntensity_750:954.48;2001ReflectiveIntensity:12923.64;2001ReflectiveIntensityStdDev:566.465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10.89;Empties488F1MeanIntensity:67.74;Empties577F1IntensityStdDev:18.98;Empties577F1MeanIntensity:379.80;Empties577F2IntensityStdDev:22.15;Empties577F2MeanIntensity:377.39;Empties647F1IntensityStdDev:4.14;Empties647F1MeanIntensity:31.40;Empties700F1IntensityStdDev:4.05;Empties700F1MeanIntensity:29.30;Empties750F1IntensityStdDev:4.85;Empties750F1MeanIntensity:33.50;EmptiesIGrowth:448.54;EmptiesReflectiveIntensityStdDev:351.31;EmptiesReflectiveMeanIntensity:11678.08;Errors:;F2minusF1Shift:0.8;FluorescenceClassification:Normal;Focus_FracImageLost:0.00;FocusScoresAvg:3.33;FocusScoresImageCenter:4.50;FocusScoresMax:5.03;FocusScoresMedian:3.35;FractionImageDebris:0.0970;FractionWellsDebris:0.0895;ImageQualityScoreIfUnpegged:1.00;IndexingWellsMissingFromFov:1946;IndexingWellsTotalLostBothVisibleAndMissing:3728;IndexingWellsVisibleInFovButRemoved:1782;L1DR time (ms):27185;NetBeadFillRate:26.14;NormalizedFillPercentage:037.20;Notes:Indexing: stripe across bottom | Xtalk: usable out of spec wv 577 sr 4 dir 5 value 0.043. | Xtalk: usable out of spec wv 577 sr 8 dir 5 value 0.041.;NumberDecSaturated:2;NumberEmpties:74304;NumberFlagged_DeadPixels:76.0000;NumberFlagged_Debris:16904.0000;NumberFlagged_MissingNeighbor:2683.0000;NumberFlagged_NeighborSaturated:18.0000;NumberFlagged_OddlyRecurrentClassification:2497.0000;NumberFlagged_OutOfBounds:3250.0000;NumberFlagged_SaturatedPixelDecodingFour:02.0000;NumberFlagged_SaturatedPixelResorufinTwo:01.0000;NumberInvalidWells:20434;NumberPositiveEmpties:12;NumberPositives:2978;NumberResSaturated:1;NumberSaturatedWithoutDebris:3;NumberValidUnclassified:50051.00;NumberValidWells:168373;OddlyAggregatedFlag:2;OddlyAggregatedLocations:;OddlyAggregatedWorst:0;OffsetW488:( 1, -1 );OffsetW577:( 0, 0 );OffsetW647:( 0, 0 );OffsetW700:( 0, -1 );OffsetW750:( 0, -1 );ResorufinUnsaturated:0;ResorufinUnsaturatedMutated:0;ResorufinUnsaturaterNumberInFit:38;SaturatedDecodingWells:2;SuspiciousWells:21827;SuspiciousWellsFlagged:1;SuspiciousWellsLowerThreshold:4;Warnings:;WhiteLightChannelMedian:9765;XtalkSubregionsOutOfSpec:0</t>
  </si>
  <si>
    <t>0002_DecodingIntensityStdDev_577F1:40.610;0002_DecodingIntensityStdDev_577F2:83.990;0002_MeanDecodingIntensity_577F1:414.80;0002_MeanDecodingIntensity_577F2:424.72;0002AEB:00.0352;0002DecodingIntensityStdDev:332.827;0002DecodingIntensityStdDev_488:332.827;0002DecodingIntensityStdDev_647:4.780;0002DecodingIntensityStdDev_700:4.649;0002DecodingIntensityStdDev_750:5.949;0002F_on:0.0345;0002FillPercent:014.61;0002KineticInconsistentLower:0;0002KineticInconsistentMetadata:-613.364981731895|2.55;0002MeanDecodingIntensity:1530.48;0002MeanDecodingIntensity_488:1530.48;0002MeanDecodingIntensity_647:34.36;0002MeanDecodingIntensity_700:29.93;0002MeanDecodingIntensity_750:34.83;0002ReflectiveIntensity:13048.46;0002ReflectiveIntensityStdDev:584.664;0002SealTimeEstimate:17.6;0021_DecodingIntensityStdDev_577F1:41.669;0021_DecodingIntensityStdDev_577F2:90.804;0021_MeanDecodingIntensity_577F1:408.45;0021_MeanDecodingIntensity_577F2:418.00;0021AEB:00.0288;0021DecodingIntensityStdDev:76.759;0021DecodingIntensityStdDev_488:20.014;0021DecodingIntensityStdDev_647:76.759;0021DecodingIntensityStdDev_700:9.055;0021DecodingIntensityStdDev_750:6.082;0021F_on:0.0284;0021FillPercent:008.78;0021KineticInconsistentLower:0;0021KineticInconsistentMetadata:-604.145787283426|2.54;0021MeanDecodingIntensity:412.03;0021MeanDecodingIntensity_488:131.15;0021MeanDecodingIntensity_647:412.03;0021MeanDecodingIntensity_700:66.71;0021MeanDecodingIntensity_750:34.87;0021ReflectiveIntensity:12810.79;0021ReflectiveIntensityStdDev:482.354;0021SealTimeEstimate:17.7;0201_DecodingIntensityStdDev_577F1:38.059;0201_DecodingIntensityStdDev_577F2:81.199;0201_MeanDecodingIntensity_577F1:407.05;0201_MeanDecodingIntensity_577F2:415.95;0201AEB:00.0269;0201DecodingIntensityStdDev:104.947;0201DecodingIntensityStdDev_488:23.089;0201DecodingIntensityStdDev_647:18.276;0201DecodingIntensityStdDev_700:104.947;0201DecodingIntensityStdDev_750:9.951;0201F_on:0.0265;0201FillPercent:009.88;0201KineticInconsistentLower:0;0201KineticInconsistentMetadata:-644.565124086472|2.63;0201MeanDecodingIntensity:481.62;0201MeanDecodingIntensity_488:133.39;0201MeanDecodingIntensity_647:97.01;0201MeanDecodingIntensity_700:481.62;0201MeanDecodingIntensity_750:63.93;0201ReflectiveIntensity:12848.63;0201ReflectiveIntensityStdDev:513.197;0201SealTimeEstimate:16.7;2001_DecodingIntensityStdDev_577F1:48.414;2001_DecodingIntensityStdDev_577F2:102.989;2001_MeanDecodingIntensity_577F1:438.19;2001_MeanDecodingIntensity_577F2:448.26;2001AEB:00.0295;2001DecodingIntensityStdDev:202.469;2001DecodingIntensityStdDev_488:22.581;2001DecodingIntensityStdDev_647:5.105;2001DecodingIntensityStdDev_700:5.350;2001DecodingIntensityStdDev_750:202.469;2001F_on:0.0291;2001FillPercent:009.63;2001KineticInconsistentLower:0;2001KineticInconsistentMetadata:-691.874789977808|2.61;2001MeanDecodingIntensity:941.33;2001MeanDecodingIntensity_488:133.28;2001MeanDecodingIntensity_647:37.26;2001MeanDecodingIntensity_700:33.86;2001MeanDecodingIntensity_750:941.33;2001ReflectiveIntensity:12854.22;2001ReflectiveIntensityStdDev:515.528;2001SealTimeEstimate:16.9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11.33;Empties488F1MeanIntensity:64.05;Empties577F1IntensityStdDev:17.93;Empties577F1MeanIntensity:378.47;Empties577F2IntensityStdDev:19.46;Empties577F2MeanIntensity:376.73;Empties647F1IntensityStdDev:4.24;Empties647F1MeanIntensity:31.21;Empties700F1IntensityStdDev:4.23;Empties700F1MeanIntensity:29.14;Empties750F1IntensityStdDev:5.16;Empties750F1MeanIntensity:33.66;EmptiesIGrowth:310.95;EmptiesReflectiveIntensityStdDev:323.91;EmptiesReflectiveMeanIntensity:11659.37;Errors:;F2minusF1Shift:-0.2;FluorescenceClassification:Normal;Focus_FracImageLost:0.01;FocusScoresAvg:3.24;FocusScoresImageCenter:4.68;FocusScoresMax:5.16;FocusScoresMedian:3.40;FractionImageDebris:0.0844;FractionWellsDebris:0.0686;ImageQualityScoreIfUnpegged:0.60;IndexingWellsMissingFromFov:3895;IndexingWellsTotalLostBothVisibleAndMissing:5592;IndexingWellsVisibleInFovButRemoved:1697;L1DR time (ms):23632;NetBeadFillRate:30.12;NormalizedFillPercentage:042.90;Notes:Indexing: stripe across bottom | Xtalk: usable out of spec wv 700 sr 4 dir 5 value 0.038. | Xtalk: usable out of spec wv 700 sr 8 dir 5 value 0.038.;NumberDecSaturated:0;NumberEmpties:56665;NumberFlagged_DeadPixels:78.0000;NumberFlagged_Debris:12829.0000;NumberFlagged_MissingNeighbor:2385.0000;NumberFlagged_OutOfBounds:3249.0000;NumberFlagged_OutOfFocus:1051.0000;NumberFlagged_OutOfSpecXtalk:30463.0000;NumberInvalidWells:45599;NumberPositiveEmpties:5;NumberPositives:2842;NumberResSaturated:0;NumberSaturatedWithoutDebris:0;NumberValidUnclassified:42127.00;NumberValidWells:141372;OddlyAggregatedFlag:2;OddlyAggregatedLocations:;OddlyAggregatedWorst:0;OffsetW488:( 1, 0 );OffsetW577:( 0, 0 );OffsetW647:( 0, 0 );OffsetW700:( 0, 0 );OffsetW750:( 1, -1 );ResorufinUnsaturated:0;ResorufinUnsaturatedMutated:0;ResorufinUnsaturaterNumberInFit:37;SaturatedDecodingWells:0;SuspiciousWells:27974;SuspiciousWellsFlagged:1;SuspiciousWellsLowerThreshold:3;Warnings:Xtalk: unusable out of spec wv 577 sr 4 dir 5 value 0.055. | Xtalk: unusable out of spec wv 577 sr 8 dir 5 value 0.058.;WhiteLightChannelMedian:9727;XtalkSubregionsOutOfSpec:2</t>
  </si>
  <si>
    <t>low-1-8-2</t>
  </si>
  <si>
    <t>Plate 1 - Well B7</t>
  </si>
  <si>
    <t>0002_DecodingIntensityStdDev_577F1:49.702;0002_DecodingIntensityStdDev_577F2:104.020;0002_MeanDecodingIntensity_577F1:422.20;0002_MeanDecodingIntensity_577F2:433.53;0002AEB:00.0402;0002DecodingIntensityStdDev:324.116;0002DecodingIntensityStdDev_488:324.116;0002DecodingIntensityStdDev_647:4.660;0002DecodingIntensityStdDev_700:4.447;0002DecodingIntensityStdDev_750:5.450;0002F_on:0.0394;0002FillPercent:011.73;0002KineticInconsistentLower:0;0002KineticInconsistentMetadata:-545.072066568245|2.38;0002MeanDecodingIntensity:1608.16;0002MeanDecodingIntensity_488:1608.16;0002MeanDecodingIntensity_647:34.76;0002MeanDecodingIntensity_700:30.04;0002MeanDecodingIntensity_750:34.50;0002ReflectiveIntensity:13262.25;0002ReflectiveIntensityStdDev:607.710;0002SealTimeEstimate:19.8;0021_DecodingIntensityStdDev_577F1:52.511;0021_DecodingIntensityStdDev_577F2:113.598;0021_MeanDecodingIntensity_577F1:416.79;0021_MeanDecodingIntensity_577F2:428.47;0021AEB:00.0377;0021DecodingIntensityStdDev:80.638;0021DecodingIntensityStdDev_488:19.610;0021DecodingIntensityStdDev_647:80.638;0021DecodingIntensityStdDev_700:9.337;0021DecodingIntensityStdDev_750:5.720;0021F_on:0.0370;0021FillPercent:006.91;0021KineticInconsistentLower:0;0021KineticInconsistentMetadata:-585.925886969676|2.47;0021MeanDecodingIntensity:439.27;0021MeanDecodingIntensity_488:139.06;0021MeanDecodingIntensity_647:439.27;0021MeanDecodingIntensity_700:69.50;0021MeanDecodingIntensity_750:34.66;0021ReflectiveIntensity:13042.39;0021ReflectiveIntensityStdDev:541.191;0021SealTimeEstimate:18.6;0201_DecodingIntensityStdDev_577F1:50.427;0201_DecodingIntensityStdDev_577F2:106.461;0201_MeanDecodingIntensity_577F1:415.78;0201_MeanDecodingIntensity_577F2:427.02;0201AEB:00.0375;0201DecodingIntensityStdDev:105.078;0201DecodingIntensityStdDev_488:21.986;0201DecodingIntensityStdDev_647:15.271;0201DecodingIntensityStdDev_700:105.078;0201DecodingIntensityStdDev_750:10.034;0201F_on:0.0368;0201FillPercent:008.01;0201KineticInconsistentLower:0;0201KineticInconsistentMetadata:-574.591836878946|2.44;0201MeanDecodingIntensity:512.22;0201MeanDecodingIntensity_488:140.40;0201MeanDecodingIntensity_647:100.26;0201MeanDecodingIntensity_700:512.22;0201MeanDecodingIntensity_750:65.05;0201ReflectiveIntensity:13080.93;0201ReflectiveIntensityStdDev:550.150;0201SealTimeEstimate:19.0;2001_DecodingIntensityStdDev_577F1:50.970;2001_DecodingIntensityStdDev_577F2:105.337;2001_MeanDecodingIntensity_577F1:446.84;2001_MeanDecodingIntensity_577F2:457.86;2001AEB:00.0380;2001DecodingIntensityStdDev:211.974;2001DecodingIntensityStdDev_488:22.071;2001DecodingIntensityStdDev_647:5.132;2001DecodingIntensityStdDev_700:5.383;2001DecodingIntensityStdDev_750:211.974;2001F_on:0.0373;2001FillPercent:007.68;2001KineticInconsistentLower:0;2001KineticInconsistentMetadata:-629.643250942863|2.47;2001MeanDecodingIntensity:975.14;2001MeanDecodingIntensity_488:140.44;2001MeanDecodingIntensity_647:38.14;2001MeanDecodingIntensity_700:34.23;2001MeanDecodingIntensity_750:975.14;2001ReflectiveIntensity:13088.05;2001ReflectiveIntensityStdDev:574.134;2001SealTimeEstimate:18.6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10.78;Empties488F1MeanIntensity:68.61;Empties577F1IntensityStdDev:18.55;Empties577F1MeanIntensity:384.25;Empties577F2IntensityStdDev:21.59;Empties577F2MeanIntensity:381.16;Empties647F1IntensityStdDev:4.16;Empties647F1MeanIntensity:31.56;Empties700F1IntensityStdDev:4.06;Empties700F1MeanIntensity:29.24;Empties750F1IntensityStdDev:4.85;Empties750F1MeanIntensity:33.51;EmptiesIGrowth:436.56;EmptiesReflectiveIntensityStdDev:354.52;EmptiesReflectiveMeanIntensity:11792.30;Errors:;F2minusF1Shift:0.2;FluorescenceClassification:Normal;Focus_FracImageLost:0.00;FocusScoresAvg:3.69;FocusScoresImageCenter:4.55;FocusScoresMax:5.10;FocusScoresMedian:3.62;FractionImageDebris:0.1240;FractionWellsDebris:0.1193;ImageQualityScoreIfUnpegged:1.00;IndexingWellsMissingFromFov:2303;IndexingWellsTotalLostBothVisibleAndMissing:3728;IndexingWellsVisibleInFovButRemoved:1425;L1DR time (ms):26520;NetBeadFillRate:24.13;NormalizedFillPercentage:034.33;Notes:Indexing: stripe across bottom | Xtalk: usable out of spec wv 577 sr 1 dir 0 value 0.036. | Xtalk: usable out of spec wv 577 sr 4 dir 5 value 0.038. | Xtalk: usable out of spec wv 577 sr 8 dir 5 value 0.043.;NumberDecSaturated:0;NumberEmpties:75002;NumberFlagged_DeadPixels:73.0000;NumberFlagged_Debris:22490.0000;NumberFlagged_MissingNeighbor:2729.0000;NumberFlagged_OddlyRecurrentClassification:743.0000;NumberFlagged_OutOfBounds:3163.0000;NumberInvalidWells:26064;NumberPositiveEmpties:11;NumberPositives:3104;NumberResSaturated:0;NumberSaturatedWithoutDebris:0;NumberValidUnclassified:48316.00;NumberValidWells:162528;OddlyAggregatedFlag:2;OddlyAggregatedLocations:;OddlyAggregatedWorst:0;OffsetW488:( 0, 0 );OffsetW577:( 0, 0 );OffsetW647:( 0, 0 );OffsetW700:( 0, -1 );OffsetW750:( 0, -1 );ResorufinUnsaturated:0;ResorufinUnsaturatedMutated:0;ResorufinUnsaturaterNumberInFit:75;SaturatedDecodingWells:0;SuspiciousWells:24740;SuspiciousWellsFlagged:1;SuspiciousWellsLowerThreshold:4;Warnings:;WhiteLightChannelMedian:9661;XtalkSubregionsOutOfSpec:0</t>
  </si>
  <si>
    <t>0002_DecodingIntensityStdDev_577F1:47.930;0002_DecodingIntensityStdDev_577F2:97.447;0002_MeanDecodingIntensity_577F1:409.98;0002_MeanDecodingIntensity_577F2:420.71;0002AEB:00.0391;0002DecodingIntensityStdDev:335.005;0002DecodingIntensityStdDev_488:335.005;0002DecodingIntensityStdDev_647:4.829;0002DecodingIntensityStdDev_700:4.653;0002DecodingIntensityStdDev_750:5.830;0002F_on:0.0383;0002FillPercent:012.21;0002KineticInconsistentLower:0;0002KineticInconsistentMetadata:-531.055030021952|2.38;0002MeanDecodingIntensity:1580.87;0002MeanDecodingIntensity_488:1580.87;0002MeanDecodingIntensity_647:34.58;0002MeanDecodingIntensity_700:30.05;0002MeanDecodingIntensity_750:34.53;0002ReflectiveIntensity:13360.34;0002ReflectiveIntensityStdDev:635.098;0002SealTimeEstimate:19.8;0021_DecodingIntensityStdDev_577F1:48.188;0021_DecodingIntensityStdDev_577F2:99.461;0021_MeanDecodingIntensity_577F1:403.83;0021_MeanDecodingIntensity_577F2:413.64;0021AEB:00.0341;0021DecodingIntensityStdDev:83.174;0021DecodingIntensityStdDev_488:20.596;0021DecodingIntensityStdDev_647:83.174;0021DecodingIntensityStdDev_700:9.642;0021DecodingIntensityStdDev_750:6.015;0021F_on:0.0336;0021FillPercent:007.19;0021KineticInconsistentLower:0;0021KineticInconsistentMetadata:-546.599562599869|2.41;0021MeanDecodingIntensity:428.56;0021MeanDecodingIntensity_488:135.77;0021MeanDecodingIntensity_647:428.56;0021MeanDecodingIntensity_700:68.39;0021MeanDecodingIntensity_750:34.70;0021ReflectiveIntensity:13110.62;0021ReflectiveIntensityStdDev:566.579;0021SealTimeEstimate:19.4;0201_DecodingIntensityStdDev_577F1:47.105;0201_DecodingIntensityStdDev_577F2:96.893;0201_MeanDecodingIntensity_577F1:403.22;0201_MeanDecodingIntensity_577F2:413.40;0201AEB:00.0358;0201DecodingIntensityStdDev:107.266;0201DecodingIntensityStdDev_488:23.690;0201DecodingIntensityStdDev_647:17.024;0201DecodingIntensityStdDev_700:107.266;0201DecodingIntensityStdDev_750:10.078;0201F_on:0.0352;0201FillPercent:008.16;0201KineticInconsistentLower:0;0201KineticInconsistentMetadata:-560.450062105707|2.45;0201MeanDecodingIntensity:496.81;0201MeanDecodingIntensity_488:137.60;0201MeanDecodingIntensity_647:99.73;0201MeanDecodingIntensity_700:496.81;0201MeanDecodingIntensity_750:65.11;0201ReflectiveIntensity:13164.14;0201ReflectiveIntensityStdDev:582.548;0201SealTimeEstimate:18.8;2001_DecodingIntensityStdDev_577F1:49.631;2001_DecodingIntensityStdDev_577F2:101.062;2001_MeanDecodingIntensity_577F1:434.60;2001_MeanDecodingIntensity_577F2:445.21;2001AEB:00.0370;2001DecodingIntensityStdDev:216.533;2001DecodingIntensityStdDev_488:23.368;2001DecodingIntensityStdDev_647:5.334;2001DecodingIntensityStdDev_700:5.475;2001DecodingIntensityStdDev_750:216.533;2001F_on:0.0363;2001FillPercent:007.93;2001KineticInconsistentLower:0;2001KineticInconsistentMetadata:-570.1679559545|2.4;2001MeanDecodingIntensity:975.44;2001MeanDecodingIntensity_488:137.72;2001MeanDecodingIntensity_647:37.94;2001MeanDecodingIntensity_700:34.13;2001MeanDecodingIntensity_750:975.44;2001ReflectiveIntensity:13158.68;2001ReflectiveIntensityStdDev:585.056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11.37;Empties488F1MeanIntensity:65.69;Empties577F1IntensityStdDev:30.46;Empties577F1MeanIntensity:364.11;Empties577F2IntensityStdDev:31.32;Empties577F2MeanIntensity:362.06;Empties647F1IntensityStdDev:4.32;Empties647F1MeanIntensity:31.51;Empties700F1IntensityStdDev:4.27;Empties700F1MeanIntensity:29.25;Empties750F1IntensityStdDev:5.12;Empties750F1MeanIntensity:33.57;EmptiesIGrowth:323.10;EmptiesReflectiveIntensityStdDev:356.30;EmptiesReflectiveMeanIntensity:11877.04;Errors:;F2minusF1Shift:0.1;FluorescenceClassification:Normal;Focus_FracImageLost:0.00;FocusScoresAvg:3.56;FocusScoresImageCenter:4.61;FocusScoresMax:5.13;FocusScoresMedian:3.52;FractionImageDebris:0.0467;FractionWellsDebris:0.0557;ImageQualityScoreIfUnpegged:1.00;IndexingWellsMissingFromFov:0;IndexingWellsTotalLostBothVisibleAndMissing:0;IndexingWellsVisibleInFovButRemoved:0;L1DR time (ms):27895;NetBeadFillRate:24.93;NormalizedFillPercentage:035.48;Notes:Xtalk: usable out of spec wv 577 sr 4 dir 0 value 0.036. | Xtalk: usable out of spec wv 577 sr 8 dir 5 value 0.041.;NumberDecSaturated:0;NumberEmpties:80221;NumberFlagged_DeadPixels:75.0000;NumberFlagged_Debris:10709.0000;NumberFlagged_MissingNeighbor:2414.0000;NumberFlagged_OutOfBounds:4273.0000;NumberInvalidWells:15311;NumberPositiveEmpties:11;NumberPositives:3092;NumberResSaturated:0;NumberSaturatedWithoutDebris:0;NumberValidUnclassified:52640.00;NumberValidWells:176977;OddlyAggregatedFlag:2;OddlyAggregatedLocations:;OddlyAggregatedWorst:0;OffsetW488:( 0, 0 );OffsetW577:( 0, 0 );OffsetW647:( 0, 0 );OffsetW700:( 0, 0 );OffsetW750:( 1, -1 );ResorufinUnsaturated:0;ResorufinUnsaturatedMutated:0;ResorufinUnsaturaterNumberInFit:57;SaturatedDecodingWells:0;SuspiciousWells:26797;SuspiciousWellsFlagged:1;SuspiciousWellsLowerThreshold:4;Warnings:;WhiteLightChannelMedian:9788;XtalkSubregionsOutOfSpec:0</t>
  </si>
  <si>
    <t>0002_DecodingIntensityStdDev_577F1:47.248;0002_DecodingIntensityStdDev_577F2:94.470;0002_MeanDecodingIntensity_577F1:412.93;0002_MeanDecodingIntensity_577F2:423.51;0002AEB:00.0397;0002DecodingIntensityStdDev:324.413;0002DecodingIntensityStdDev_488:324.413;0002DecodingIntensityStdDev_647:4.810;0002DecodingIntensityStdDev_700:4.806;0002DecodingIntensityStdDev_750:6.017;0002F_on:0.0389;0002FillPercent:013.01;0002KineticInconsistentLower:0;0002KineticInconsistentMetadata:-513.113285241332|2.32;0002MeanDecodingIntensity:1578.95;0002MeanDecodingIntensity_488:1578.95;0002MeanDecodingIntensity_647:34.77;0002MeanDecodingIntensity_700:30.10;0002MeanDecodingIntensity_750:34.83;0002ReflectiveIntensity:13300.93;0002ReflectiveIntensityStdDev:609.250;0002SealTimeEstimate:20.8;0021_DecodingIntensityStdDev_577F1:44.411;0021_DecodingIntensityStdDev_577F2:91.364;0021_MeanDecodingIntensity_577F1:406.17;0021_MeanDecodingIntensity_577F2:415.93;0021AEB:00.0335;0021DecodingIntensityStdDev:85.856;0021DecodingIntensityStdDev_488:21.212;0021DecodingIntensityStdDev_647:85.856;0021DecodingIntensityStdDev_700:10.070;0021DecodingIntensityStdDev_750:6.252;0021F_on:0.0329;0021FillPercent:007.66;0021KineticInconsistentLower:0;0021KineticInconsistentMetadata:-528.304773750748|2.38;0021MeanDecodingIntensity:435.91;0021MeanDecodingIntensity_488:138.76;0021MeanDecodingIntensity_647:435.91;0021MeanDecodingIntensity_700:69.41;0021MeanDecodingIntensity_750:34.84;0021ReflectiveIntensity:13075.36;0021ReflectiveIntensityStdDev:534.701;0021SealTimeEstimate:19.8;0201_DecodingIntensityStdDev_577F1:47.951;0201_DecodingIntensityStdDev_577F2:97.161;0201_MeanDecodingIntensity_577F1:405.34;0201_MeanDecodingIntensity_577F2:415.16;0201AEB:00.0328;0201DecodingIntensityStdDev:110.364;0201DecodingIntensityStdDev_488:24.937;0201DecodingIntensityStdDev_647:19.676;0201DecodingIntensityStdDev_700:110.364;0201DecodingIntensityStdDev_750:10.909;0201F_on:0.0323;0201FillPercent:008.96;0201KineticInconsistentLower:0;0201KineticInconsistentMetadata:-529.046505211605|2.36;0201MeanDecodingIntensity:504.11;0201MeanDecodingIntensity_488:140.63;0201MeanDecodingIntensity_647:100.96;0201MeanDecodingIntensity_700:504.11;0201MeanDecodingIntensity_750:65.72;0201ReflectiveIntensity:13110.65;0201ReflectiveIntensityStdDev:548.162;0201SealTimeEstimate:20.1;2001_DecodingIntensityStdDev_577F1:46.421;2001_DecodingIntensityStdDev_577F2:91.222;2001_MeanDecodingIntensity_577F1:437.04;2001_MeanDecodingIntensity_577F2:446.26;2001AEB:00.0324;2001DecodingIntensityStdDev:232.455;2001DecodingIntensityStdDev_488:25.254;2001DecodingIntensityStdDev_647:5.437;2001DecodingIntensityStdDev_700:6.001;2001DecodingIntensityStdDev_750:232.455;2001F_on:0.0319;2001FillPercent:008.33;2001KineticInconsistentLower:0;2001KineticInconsistentMetadata:-584.777826893788|2.4;2001MeanDecodingIntensity:1006.12;2001MeanDecodingIntensity_488:140.22;2001MeanDecodingIntensity_647:38.02;2001MeanDecodingIntensity_700:34.62;2001MeanDecodingIntensity_750:1006.12;2001ReflectiveIntensity:13110.61;2001ReflectiveIntensityStdDev:550.843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11.12;Empties488F1MeanIntensity:65.82;Empties577F1IntensityStdDev:20.75;Empties577F1MeanIntensity:374.81;Empties577F2IntensityStdDev:24.33;Empties577F2MeanIntensity:372.13;Empties647F1IntensityStdDev:4.28;Empties647F1MeanIntensity:31.38;Empties700F1IntensityStdDev:4.27;Empties700F1MeanIntensity:29.21;Empties750F1IntensityStdDev:5.11;Empties750F1MeanIntensity:33.51;EmptiesIGrowth:395.19;EmptiesReflectiveIntensityStdDev:331.49;EmptiesReflectiveMeanIntensity:11841.43;Errors:;F2minusF1Shift:0.8;FluorescenceClassification:Normal;Focus_FracImageLost:0.00;FocusScoresAvg:3.61;FocusScoresImageCenter:4.57;FocusScoresMax:5.23;FocusScoresMedian:3.53;FractionImageDebris:0.1204;FractionWellsDebris:0.1339;ImageQualityScoreIfUnpegged:1.00;IndexingWellsMissingFromFov:0;IndexingWellsTotalLostBothVisibleAndMissing:0;IndexingWellsVisibleInFovButRemoved:0;L1DR time (ms):26075;NetBeadFillRate:26.66;NormalizedFillPercentage:037.96;Notes:;NumberDecSaturated:0;NumberEmpties:70576;NumberFlagged_DeadPixels:73.0000;NumberFlagged_Debris:25655.0000;NumberFlagged_MissingNeighbor:2726.0000;NumberFlagged_OutOfBounds:3574.0000;NumberInvalidWells:29625;NumberPositiveEmpties:18;NumberPositives:3330;NumberResSaturated:0;NumberSaturatedWithoutDebris:0;NumberValidUnclassified:48201.00;NumberValidWells:161964;OddlyAggregatedFlag:2;OddlyAggregatedLocations:;OddlyAggregatedWorst:0;OffsetW488:( 0, 0 );OffsetW577:( 0, 0 );OffsetW647:( 0, 0 );OffsetW700:( 0, 0 );OffsetW750:( 1, 0 );ResorufinUnsaturated:0;ResorufinUnsaturatedMutated:0;ResorufinUnsaturaterNumberInFit:65;SaturatedDecodingWells:0;SuspiciousWells:22808;SuspiciousWellsFlagged:1;SuspiciousWellsLowerThreshold:5;Warnings:;WhiteLightChannelMedian:9742;XtalkSubregionsOutOfSpec:0</t>
  </si>
  <si>
    <t>low-1-8-3</t>
  </si>
  <si>
    <t>Plate 1 - Well C7</t>
  </si>
  <si>
    <t>0002_DecodingIntensityStdDev_577F1:37.194;0002_DecodingIntensityStdDev_577F2:81.864;0002_MeanDecodingIntensity_577F1:421.06;0002_MeanDecodingIntensity_577F2:429.37;0002AEB:00.0349;0002DecodingIntensityStdDev:342.347;0002DecodingIntensityStdDev_488:342.347;0002DecodingIntensityStdDev_647:4.906;0002DecodingIntensityStdDev_700:4.837;0002DecodingIntensityStdDev_750:6.161;0002F_on:0.0343;0002FillPercent:015.88;0002KineticInconsistentLower:0;0002KineticInconsistentMetadata:-736.000207692393|2.85;0002MeanDecodingIntensity:1645.59;0002MeanDecodingIntensity_488:1645.59;0002MeanDecodingIntensity_647:34.72;0002MeanDecodingIntensity_700:30.25;0002MeanDecodingIntensity_750:35.10;0002ReflectiveIntensity:13440.27;0002ReflectiveIntensityStdDev:636.227;0002SealTimeEstimate:14.6;0021_DecodingIntensityStdDev_577F1:30.115;0021_DecodingIntensityStdDev_577F2:65.150;0021_MeanDecodingIntensity_577F1:413.05;0021_MeanDecodingIntensity_577F2:419.13;0021AEB:00.0208;0021DecodingIntensityStdDev:84.653;0021DecodingIntensityStdDev_488:23.859;0021DecodingIntensityStdDev_647:84.653;0021DecodingIntensityStdDev_700:9.786;0021DecodingIntensityStdDev_750:6.540;0021F_on:0.0206;0021FillPercent:009.30;0021KineticInconsistentLower:0;0021KineticInconsistentMetadata:-734.589956253953|2.88;0021MeanDecodingIntensity:429.85;0021MeanDecodingIntensity_488:141.20;0021MeanDecodingIntensity_647:429.85;0021MeanDecodingIntensity_700:68.90;0021MeanDecodingIntensity_750:35.30;0021ReflectiveIntensity:13165.20;0021ReflectiveIntensityStdDev:548.458;0021SealTimeEstimate:14.4;0201_DecodingIntensityStdDev_577F1:30.041;0201_DecodingIntensityStdDev_577F2:64.529;0201_MeanDecodingIntensity_577F1:412.43;0201_MeanDecodingIntensity_577F2:418.61;0201AEB:00.0210;0201DecodingIntensityStdDev:115.497;0201DecodingIntensityStdDev_488:27.035;0201DecodingIntensityStdDev_647:21.369;0201DecodingIntensityStdDev_700:115.497;0201DecodingIntensityStdDev_750:11.473;0201F_on:0.0207;0201FillPercent:010.90;0201KineticInconsistentLower:0;0201KineticInconsistentMetadata:-825.72595294185|3.05;0201MeanDecodingIntensity:505.26;0201MeanDecodingIntensity_488:143.24;0201MeanDecodingIntensity_647:101.21;0201MeanDecodingIntensity_700:505.26;0201MeanDecodingIntensity_750:65.90;0201ReflectiveIntensity:13204.91;0201ReflectiveIntensityStdDev:581.495;0201SealTimeEstimate:13.2;2001_DecodingIntensityStdDev_577F1:33.699;2001_DecodingIntensityStdDev_577F2:67.802;2001_MeanDecodingIntensity_577F1:443.40;2001_MeanDecodingIntensity_577F2:449.89;2001AEB:00.0254;2001DecodingIntensityStdDev:230.775;2001DecodingIntensityStdDev_488:31.781;2001DecodingIntensityStdDev_647:5.919;2001DecodingIntensityStdDev_700:6.052;2001DecodingIntensityStdDev_750:230.775;2001F_on:0.0251;2001FillPercent:010.46;2001KineticInconsistentLower:0;2001KineticInconsistentMetadata:-787.232427240875|2.86;2001MeanDecodingIntensity:951.54;2001MeanDecodingIntensity_488:143.49;2001MeanDecodingIntensity_647:37.81;2001MeanDecodingIntensity_700:34.37;2001MeanDecodingIntensity_750:951.54;2001ReflectiveIntensity:13196.97;2001ReflectiveIntensityStdDev:586.205;2001SealTimeEstimate:14.6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12.76;Empties488F1MeanIntensity:69.32;Empties577F1IntensityStdDev:18.72;Empties577F1MeanIntensity:387.58;Empties577F2IntensityStdDev:23.30;Empties577F2MeanIntensity:384.46;Empties647F1IntensityStdDev:4.36;Empties647F1MeanIntensity:31.32;Empties700F1IntensityStdDev:4.36;Empties700F1MeanIntensity:29.26;Empties750F1IntensityStdDev:5.30;Empties750F1MeanIntensity:33.62;EmptiesIGrowth:376.50;EmptiesReflectiveIntensityStdDev:377.33;EmptiesReflectiveMeanIntensity:11925.09;Errors:;F2minusF1Shift:1.1;FluorescenceClassification:Normal;Focus_FracImageLost:0.00;FocusScoresAvg:3.71;FocusScoresImageCenter:4.66;FocusScoresMax:5.66;FocusScoresMedian:3.68;FractionImageDebris:0.1339;FractionWellsDebris:0.1132;ImageQualityScoreIfUnpegged:1.00;IndexingWellsMissingFromFov:6113;IndexingWellsTotalLostBothVisibleAndMissing:7456;IndexingWellsVisibleInFovButRemoved:1343;L1DR time (ms):28349;NetBeadFillRate:32.66;NormalizedFillPercentage:046.54;Notes:Indexing: stripe across bottom | Xtalk: usable out of spec wv 577 sr 8 dir 5 value 0.043. | Xtalk: usable out of spec wv 577 sr 9 dir 5 value 0.036. | Xtalk: usable out of spec wv 577 sr 10 dir 4 value 0.036.;NumberDecSaturated:0;NumberEmpties:60300;NumberFlagged_DeadPixels:74.0000;NumberFlagged_Debris:20944.0000;NumberFlagged_MissingNeighbor:2214.0000;NumberFlagged_OutOfBounds:3173.0000;NumberInvalidWells:24212;NumberPositiveEmpties:29;NumberPositives:2915;NumberResSaturated:0;NumberSaturatedWithoutDebris:0;NumberValidUnclassified:47969.00;NumberValidWells:160774;OddlyAggregatedFlag:2;OddlyAggregatedLocations:;OddlyAggregatedWorst:0;OffsetW488:( 0, 0 );OffsetW577:( 0, 0 );OffsetW647:( 0, 0 );OffsetW700:( 0, 0 );OffsetW750:( 0, 0 );ResorufinUnsaturated:0;ResorufinUnsaturatedMutated:0;ResorufinUnsaturaterNumberInFit:9;SaturatedDecodingWells:0;SuspiciousWells:21665;SuspiciousWellsFlagged:1;SuspiciousWellsLowerThreshold:6;Warnings:;WhiteLightChannelMedian:9798;XtalkSubregionsOutOfSpec:0</t>
  </si>
  <si>
    <t>0002_DecodingIntensityStdDev_577F1:41.182;0002_DecodingIntensityStdDev_577F2:79.340;0002_MeanDecodingIntensity_577F1:417.73;0002_MeanDecodingIntensity_577F2:425.71;0002AEB:00.0330;0002DecodingIntensityStdDev:331.982;0002DecodingIntensityStdDev_488:331.982;0002DecodingIntensityStdDev_647:4.784;0002DecodingIntensityStdDev_700:4.573;0002DecodingIntensityStdDev_750:5.811;0002F_on:0.0325;0002FillPercent:013.34;0002KineticInconsistentLower:0;0002KineticInconsistentMetadata:-544.534087723914|2.38;0002MeanDecodingIntensity:1664.45;0002MeanDecodingIntensity_488:1664.45;0002MeanDecodingIntensity_647:35.08;0002MeanDecodingIntensity_700:30.11;0002MeanDecodingIntensity_750:34.80;0002ReflectiveIntensity:13402.24;0002ReflectiveIntensityStdDev:616.747;0002SealTimeEstimate:19.8;0021_DecodingIntensityStdDev_577F1:34.402;0021_DecodingIntensityStdDev_577F2:65.877;0021_MeanDecodingIntensity_577F1:409.46;0021_MeanDecodingIntensity_577F2:415.20;0021AEB:00.0204;0021DecodingIntensityStdDev:82.772;0021DecodingIntensityStdDev_488:20.811;0021DecodingIntensityStdDev_647:82.772;0021DecodingIntensityStdDev_700:9.714;0021DecodingIntensityStdDev_750:5.885;0021F_on:0.0202;0021FillPercent:008.22;0021KineticInconsistentLower:0;0021KineticInconsistentMetadata:-563.313303097969|2.44;0021MeanDecodingIntensity:454.79;0021MeanDecodingIntensity_488:144.31;0021MeanDecodingIntensity_647:454.79;0021MeanDecodingIntensity_700:71.75;0021MeanDecodingIntensity_750:34.80;0021ReflectiveIntensity:13179.69;0021ReflectiveIntensityStdDev:549.993;0021SealTimeEstimate:19.0;0201_DecodingIntensityStdDev_577F1:46.082;0201_DecodingIntensityStdDev_577F2:90.370;0201_MeanDecodingIntensity_577F1:408.86;0201_MeanDecodingIntensity_577F2:414.97;0201AEB:00.0212;0201DecodingIntensityStdDev:105.802;0201DecodingIntensityStdDev_488:23.552;0201DecodingIntensityStdDev_647:16.549;0201DecodingIntensityStdDev_700:105.802;0201DecodingIntensityStdDev_750:9.856;0201F_on:0.0210;0201FillPercent:009.38;0201KineticInconsistentLower:0;0201KineticInconsistentMetadata:-530.874254977742|2.35;0201MeanDecodingIntensity:533.73;0201MeanDecodingIntensity_488:145.41;0201MeanDecodingIntensity_647:101.65;0201MeanDecodingIntensity_700:533.73;0201MeanDecodingIntensity_750:66.20;0201ReflectiveIntensity:13198.97;0201ReflectiveIntensityStdDev:556.379;0201SealTimeEstimate:20.3;2001_DecodingIntensityStdDev_577F1:51.569;2001_DecodingIntensityStdDev_577F2:98.282;2001_MeanDecodingIntensity_577F1:442.05;2001_MeanDecodingIntensity_577F2:448.26;2001AEB:00.0205;2001DecodingIntensityStdDev:215.124;2001DecodingIntensityStdDev_488:22.738;2001DecodingIntensityStdDev_647:5.193;2001DecodingIntensityStdDev_700:5.246;2001DecodingIntensityStdDev_750:215.124;2001F_on:0.0203;2001FillPercent:008.93;2001KineticInconsistentLower:0;2001KineticInconsistentMetadata:-606.912395916121|2.42;2001MeanDecodingIntensity:1028.52;2001MeanDecodingIntensity_488:145.46;2001MeanDecodingIntensity_647:38.47;2001MeanDecodingIntensity_700:34.34;2001MeanDecodingIntensity_750:1028.52;2001ReflectiveIntensity:13195.44;2001ReflectiveIntensityStdDev:558.791;2001SealTimeEstimate:19.2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11.43;Empties488F1MeanIntensity:68.87;Empties577F1IntensityStdDev:22.45;Empties577F1MeanIntensity:379.27;Empties577F2IntensityStdDev:25.89;Empties577F2MeanIntensity:376.34;Empties647F1IntensityStdDev:4.23;Empties647F1MeanIntensity:31.51;Empties700F1IntensityStdDev:4.13;Empties700F1MeanIntensity:29.26;Empties750F1IntensityStdDev:4.99;Empties750F1MeanIntensity:33.53;EmptiesIGrowth:436.00;EmptiesReflectiveIntensityStdDev:384.61;EmptiesReflectiveMeanIntensity:11930.28;Errors:;F2minusF1Shift:1.4;FluorescenceClassification:Normal;Focus_FracImageLost:0.00;FocusScoresAvg:3.78;FocusScoresImageCenter:4.24;FocusScoresMax:4.96;FocusScoresMedian:3.82;FractionImageDebris:0.1175;FractionWellsDebris:0.1053;ImageQualityScoreIfUnpegged:1.00;IndexingWellsMissingFromFov:3589;IndexingWellsTotalLostBothVisibleAndMissing:5592;IndexingWellsVisibleInFovButRemoved:2003;L1DR time (ms):27178;NetBeadFillRate:27.99;NormalizedFillPercentage:039.86;Notes:Indexing: stripe across bottom | Xtalk: usable out of spec wv 577 sr 4 dir 5 value 0.041. | Xtalk: usable out of spec wv 577 sr 8 dir 5 value 0.038. | Xtalk: usable out of spec wv 577 sr 9 dir 5 value 0.038.;NumberDecSaturated:1;NumberEmpties:69059;NumberFlagged_DeadPixels:68.0000;NumberFlagged_Debris:19673.0000;NumberFlagged_MissingNeighbor:2453.0000;NumberFlagged_NeighborSaturated:12.0000;NumberFlagged_OutOfBounds:3222.0000;NumberFlagged_SaturatedPixelDecodingFour:01.0000;NumberFlagged_SaturatedPixelResorufinTwo:01.0000;NumberInvalidWells:23342;NumberPositiveEmpties:15;NumberPositives:2298;NumberResSaturated:1;NumberSaturatedWithoutDebris:1;NumberValidUnclassified:48673.00;NumberValidWells:163496;OddlyAggregatedFlag:2;OddlyAggregatedLocations:;OddlyAggregatedWorst:0;OffsetW488:( 0, 0 );OffsetW577:( 0, 0 );OffsetW647:( 0, 0 );OffsetW700:( 0, -1 );OffsetW750:( 1, -1 );ResorufinUnsaturated:0;ResorufinUnsaturatedMutated:0;ResorufinUnsaturaterNumberInFit:23;SaturatedDecodingWells:1;SuspiciousWells:22731;SuspiciousWellsFlagged:1;SuspiciousWellsLowerThreshold:5;Warnings:;WhiteLightChannelMedian:9756;XtalkSubregionsOutOfSpec:0</t>
  </si>
  <si>
    <t>0002_DecodingIntensityStdDev_577F1:47.591;0002_DecodingIntensityStdDev_577F2:95.171;0002_MeanDecodingIntensity_577F1:408.46;0002_MeanDecodingIntensity_577F2:418.64;0002AEB:00.0368;0002DecodingIntensityStdDev:310.842;0002DecodingIntensityStdDev_488:310.842;0002DecodingIntensityStdDev_647:4.661;0002DecodingIntensityStdDev_700:4.411;0002DecodingIntensityStdDev_750:5.565;0002F_on:0.0362;0002FillPercent:012.58;0002KineticInconsistentLower:0;0002KineticInconsistentMetadata:-516.99333643023|2.36;0002MeanDecodingIntensity:1563.47;0002MeanDecodingIntensity_488:1563.47;0002MeanDecodingIntensity_647:34.40;0002MeanDecodingIntensity_700:29.76;0002MeanDecodingIntensity_750:34.37;0002ReflectiveIntensity:13227.21;0002ReflectiveIntensityStdDev:600.410;0002SealTimeEstimate:20.1;0021_DecodingIntensityStdDev_577F1:36.954;0021_DecodingIntensityStdDev_577F2:72.536;0021_MeanDecodingIntensity_577F1:401.18;0021_MeanDecodingIntensity_577F2:409.35;0021AEB:00.0275;0021DecodingIntensityStdDev:80.870;0021DecodingIntensityStdDev_488:19.731;0021DecodingIntensityStdDev_647:80.870;0021DecodingIntensityStdDev_700:9.479;0021DecodingIntensityStdDev_750:5.730;0021F_on:0.0271;0021FillPercent:007.66;0021KineticInconsistentLower:0;0021KineticInconsistentMetadata:-573.465237596934|2.48;0021MeanDecodingIntensity:434.07;0021MeanDecodingIntensity_488:135.17;0021MeanDecodingIntensity_647:434.07;0021MeanDecodingIntensity_700:69.24;0021MeanDecodingIntensity_750:34.45;0021ReflectiveIntensity:13001.39;0021ReflectiveIntensityStdDev:523.384;0021SealTimeEstimate:18.4;0201_DecodingIntensityStdDev_577F1:40.515;0201_DecodingIntensityStdDev_577F2:80.349;0201_MeanDecodingIntensity_577F1:399.83;0201_MeanDecodingIntensity_577F2:407.31;0201AEB:00.0215;0201DecodingIntensityStdDev:93.547;0201DecodingIntensityStdDev_488:20.606;0201DecodingIntensityStdDev_647:13.950;0201DecodingIntensityStdDev_700:93.547;0201DecodingIntensityStdDev_750:9.422;0201F_on:0.0212;0201FillPercent:008.60;0201KineticInconsistentLower:0;0201KineticInconsistentMetadata:-519.015464208182|2.38;0201MeanDecodingIntensity:504.00;0201MeanDecodingIntensity_488:135.85;0201MeanDecodingIntensity_647:99.23;0201MeanDecodingIntensity_700:504.00;0201MeanDecodingIntensity_750:65.18;0201ReflectiveIntensity:13019.72;0201ReflectiveIntensityStdDev:517.947;0201SealTimeEstimate:19.8;2001_DecodingIntensityStdDev_577F1:46.490;2001_DecodingIntensityStdDev_577F2:92.158;2001_MeanDecodingIntensity_577F1:432.48;2001_MeanDecodingIntensity_577F2:441.51;2001AEB:00.0279;2001DecodingIntensityStdDev:210.437;2001DecodingIntensityStdDev_488:20.945;2001DecodingIntensityStdDev_647:5.048;2001DecodingIntensityStdDev_700:5.152;2001DecodingIntensityStdDev_750:210.437;2001F_on:0.0275;2001FillPercent:008.22;2001KineticInconsistentLower:0;2001KineticInconsistentMetadata:-625.021446665595|2.49;2001MeanDecodingIntensity:1014.07;2001MeanDecodingIntensity_488:135.85;2001MeanDecodingIntensity_647:37.62;2001MeanDecodingIntensity_700:34.08;2001MeanDecodingIntensity_750:1014.07;2001ReflectiveIntensity:13033.18;2001ReflectiveIntensityStdDev:554.353;2001SealTimeEstimate:18.3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10.30;Empties488F1MeanIntensity:63.24;Empties577F1IntensityStdDev:20.54;Empties577F1MeanIntensity:373.12;Empties577F2IntensityStdDev:22.66;Empties577F2MeanIntensity:371.24;Empties647F1IntensityStdDev:4.17;Empties647F1MeanIntensity:31.11;Empties700F1IntensityStdDev:4.11;Empties700F1MeanIntensity:29.02;Empties750F1IntensityStdDev:4.92;Empties750F1MeanIntensity:33.23;EmptiesIGrowth:395.13;EmptiesReflectiveIntensityStdDev:383.87;EmptiesReflectiveMeanIntensity:11857.66;Errors:;F2minusF1Shift:0.1;FluorescenceClassification:Normal;Focus_FracImageLost:0.00;FocusScoresAvg:3.45;FocusScoresImageCenter:4.49;FocusScoresMax:5.17;FocusScoresMedian:3.48;FractionImageDebris:0.0769;FractionWellsDebris:0.0856;ImageQualityScoreIfUnpegged:1.00;IndexingWellsMissingFromFov:0;IndexingWellsTotalLostBothVisibleAndMissing:0;IndexingWellsVisibleInFovButRemoved:0;L1DR time (ms):29122;NetBeadFillRate:26.04;NormalizedFillPercentage:037.06;Notes:Xtalk: usable out of spec wv 577 sr 4 dir 5 value 0.038. | Xtalk: usable out of spec wv 577 sr 8 dir 5 value 0.043. | Xtalk: usable out of spec wv 577 sr 9 dir 5 value 0.038. | Xtalk: usable out of spec wv 700 sr 8 dir 5 value 0.036.;NumberDecSaturated:0;NumberEmpties:75804;NumberFlagged_DeadPixels:79.0000;NumberFlagged_Debris:16475.0000;NumberFlagged_MissingNeighbor:2600.0000;NumberFlagged_NeighborSaturated:06.0000;NumberFlagged_OutOfBounds:4204.0000;NumberFlagged_SaturatedPixelResorufinTwo:01.0000;NumberInvalidWells:20959;NumberPositiveEmpties:10;NumberPositives:2559;NumberResSaturated:1;NumberSaturatedWithoutDebris:1;NumberValidUnclassified:50966.00;NumberValidWells:171413;OddlyAggregatedFlag:2;OddlyAggregatedLocations:;OddlyAggregatedWorst:0;OffsetW488:( 0, 0 );OffsetW577:( 0, 1 );OffsetW647:( 0, 0 );OffsetW700:( 0, 0 );OffsetW750:( 0, 0 );ResorufinUnsaturated:0;ResorufinUnsaturatedMutated:0;ResorufinUnsaturaterNumberInFit:32;SaturatedDecodingWells:0;SuspiciousWells:24648;SuspiciousWellsFlagged:1;SuspiciousWellsLowerThreshold:4;Warnings:;WhiteLightChannelMedian:9744;XtalkSubregionsOutOfSpec:0</t>
  </si>
  <si>
    <t>low-1-8-4</t>
  </si>
  <si>
    <t>Plate 1 - Well D7</t>
  </si>
  <si>
    <t>0002_DecodingIntensityStdDev_577F1:53.890;0002_DecodingIntensityStdDev_577F2:106.819;0002_MeanDecodingIntensity_577F1:443.11;0002_MeanDecodingIntensity_577F2:476.79;0002AEB:00.2227;0002DecodingIntensityStdDev:351.513;0002DecodingIntensityStdDev_488:351.513;0002DecodingIntensityStdDev_647:4.690;0002DecodingIntensityStdDev_700:4.462;0002DecodingIntensityStdDev_750:5.421;0002F_on:0.1996;0002FillPercent:011.64;0002KineticInconsistentLower:0;0002KineticInconsistentMetadata:-483.796075601008|2.22;0002MeanDecodingIntensity:1736.55;0002MeanDecodingIntensity_488:1736.55;0002MeanDecodingIntensity_647:35.20;0002MeanDecodingIntensity_700:30.16;0002MeanDecodingIntensity_750:34.46;0002ReflectiveIntensity:13715.19;0002ReflectiveIntensityStdDev:604.975;0002SealTimeEstimate:22.5;0021_DecodingIntensityStdDev_577F1:52.989;0021_DecodingIntensityStdDev_577F2:104.880;0021_MeanDecodingIntensity_577F1:437.56;0021_MeanDecodingIntensity_577F2:472.57;0021AEB:00.2144;0021DecodingIntensityStdDev:84.842;0021DecodingIntensityStdDev_488:20.502;0021DecodingIntensityStdDev_647:84.842;0021DecodingIntensityStdDev_700:9.696;0021DecodingIntensityStdDev_750:5.619;0021F_on:0.1930;0021FillPercent:006.80;0021KineticInconsistentLower:0;0021KineticInconsistentMetadata:-462.87972201667|2.19;0021MeanDecodingIntensity:459.85;0021MeanDecodingIntensity_488:144.09;0021MeanDecodingIntensity_647:459.85;0021MeanDecodingIntensity_700:72.45;0021MeanDecodingIntensity_750:34.49;0021ReflectiveIntensity:13484.79;0021ReflectiveIntensityStdDev:545.170;0021SealTimeEstimate:23.1;0201_DecodingIntensityStdDev_577F1:51.976;0201_DecodingIntensityStdDev_577F2:103.715;0201_MeanDecodingIntensity_577F1:436.66;0201_MeanDecodingIntensity_577F2:471.73;0201AEB:00.2593;0201DecodingIntensityStdDev:114.580;0201DecodingIntensityStdDev_488:22.898;0201DecodingIntensityStdDev_647:16.223;0201DecodingIntensityStdDev_700:114.580;0201DecodingIntensityStdDev_750:10.506;0201F_on:0.2284;0201FillPercent:007.95;0201KineticInconsistentLower:0;0201KineticInconsistentMetadata:-452.038973837412|2.17;0201MeanDecodingIntensity:545.52;0201MeanDecodingIntensity_488:145.93;0201MeanDecodingIntensity_647:102.63;0201MeanDecodingIntensity_700:545.52;0201MeanDecodingIntensity_750:66.00;0201ReflectiveIntensity:13528.16;0201ReflectiveIntensityStdDev:566.626;0201SealTimeEstimate:23.6;2001_DecodingIntensityStdDev_577F1:52.192;2001_DecodingIntensityStdDev_577F2:100.157;2001_MeanDecodingIntensity_577F1:468.79;2001_MeanDecodingIntensity_577F2:502.59;2001AEB:00.2360;2001DecodingIntensityStdDev:220.663;2001DecodingIntensityStdDev_488:22.412;2001DecodingIntensityStdDev_647:5.170;2001DecodingIntensityStdDev_700:5.164;2001DecodingIntensityStdDev_750:220.663;2001F_on:0.2102;2001FillPercent:007.38;2001KineticInconsistentLower:0;2001KineticInconsistentMetadata:-473.627271664403|2.14;2001MeanDecodingIntensity:1020.35;2001MeanDecodingIntensity_488:145.79;2001MeanDecodingIntensity_647:38.67;2001MeanDecodingIntensity_700:34.44;2001MeanDecodingIntensity_750:1020.35;2001ReflectiveIntensity:13509.85;2001ReflectiveIntensityStdDev:577.181;2001SealTimeEstimate:24.2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10.67;Empties488F1MeanIntensity:69.41;Empties577F1IntensityStdDev:33.07;Empties577F1MeanIntensity:372.64;Empties577F2IntensityStdDev:38.17;Empties577F2MeanIntensity:371.06;Empties647F1IntensityStdDev:4.12;Empties647F1MeanIntensity:31.66;Empties700F1IntensityStdDev:3.97;Empties700F1MeanIntensity:29.27;Empties750F1IntensityStdDev:4.71;Empties750F1MeanIntensity:33.43;EmptiesIGrowth:223.60;EmptiesReflectiveIntensityStdDev:373.17;EmptiesReflectiveMeanIntensity:12148.58;Errors:;F2minusF1Shift:-2.1;FluorescenceClassification:Normal;Focus_FracImageLost:0.00;FocusScoresAvg:3.69;FocusScoresImageCenter:4.13;FocusScoresMax:5.13;FocusScoresMedian:3.75;FractionImageDebris:0.0937;FractionWellsDebris:0.1050;ImageQualityScoreIfUnpegged:1.00;IndexingWellsMissingFromFov:0;IndexingWellsTotalLostBothVisibleAndMissing:0;IndexingWellsVisibleInFovButRemoved:0;L1DR time (ms):28304;NetBeadFillRate:23.75;NormalizedFillPercentage:033.78;Notes:Xtalk: usable out of spec wv 577 sr 4 dir 5 value 0.036.;NumberDecSaturated:11;NumberEmpties:77880;NumberFlagged_DeadPixels:76.0000;NumberFlagged_Debris:20137.0000;NumberFlagged_MissingNeighbor:2995.0000;NumberFlagged_NeighborSaturated:29.0000;NumberFlagged_OddlyRecurrentClassification:117.0000;NumberFlagged_OutOfBounds:3521.0000;NumberFlagged_SaturatedPixelDecodingFour:11.0000;NumberInvalidWells:24579;NumberPositiveEmpties:59;NumberPositives:18520;NumberResSaturated:0;NumberSaturatedWithoutDebris:1;NumberValidUnclassified:49658.00;NumberValidWells:167260;OddlyAggregatedFlag:2;OddlyAggregatedLocations:;OddlyAggregatedWorst:0;OffsetW488:( 0, 0 );OffsetW577:( 0, 0 );OffsetW647:( 0, 0 );OffsetW700:( 0, -1 );OffsetW750:( 0, -1 );ResorufinUnsaturated:0;ResorufinUnsaturatedMutated:0;ResorufinUnsaturaterNumberInFit:69;SaturatedDecodingWells:1;SuspiciousWells:27224;SuspiciousWellsFlagged:1;SuspiciousWellsLowerThreshold:5;Warnings:;WhiteLightChannelMedian:9901;XtalkSubregionsOutOfSpec:0</t>
  </si>
  <si>
    <t>0002_DecodingIntensityStdDev_577F1:58.855;0002_DecodingIntensityStdDev_577F2:120.396;0002_MeanDecodingIntensity_577F1:439.50;0002_MeanDecodingIntensity_577F2:476.16;0002AEB:00.2612;0002DecodingIntensityStdDev:337.310;0002DecodingIntensityStdDev_488:337.310;0002DecodingIntensityStdDev_647:4.743;0002DecodingIntensityStdDev_700:4.534;0002DecodingIntensityStdDev_750:5.533;0002F_on:0.2298;0002FillPercent:011.77;0002KineticInconsistentLower:0;0002KineticInconsistentMetadata:-479.157425828936|2.23;0002MeanDecodingIntensity:1593.87;0002MeanDecodingIntensity_488:1593.87;0002MeanDecodingIntensity_647:34.62;0002MeanDecodingIntensity_700:29.91;0002MeanDecodingIntensity_750:34.39;0002ReflectiveIntensity:13147.57;0002ReflectiveIntensityStdDev:606.040;0002SealTimeEstimate:22.4;0021_DecodingIntensityStdDev_577F1:76.154;0021_DecodingIntensityStdDev_577F2:156.678;0021_MeanDecodingIntensity_577F1:436.84;0021_MeanDecodingIntensity_577F2:476.49;0021AEB:00.2548;0021DecodingIntensityStdDev:84.936;0021DecodingIntensityStdDev_488:20.493;0021DecodingIntensityStdDev_647:84.936;0021DecodingIntensityStdDev_700:9.760;0021DecodingIntensityStdDev_750:5.943;0021F_on:0.2249;0021FillPercent:006.71;0021KineticInconsistentLower:0;0021KineticInconsistentMetadata:-479.903255425244|2.25;0021MeanDecodingIntensity:429.95;0021MeanDecodingIntensity_488:135.06;0021MeanDecodingIntensity_647:429.95;0021MeanDecodingIntensity_700:68.85;0021MeanDecodingIntensity_750:34.56;0021ReflectiveIntensity:12935.47;0021ReflectiveIntensityStdDev:526.867;0021SealTimeEstimate:22.0;0201_DecodingIntensityStdDev_577F1:57.475;0201_DecodingIntensityStdDev_577F2:119.195;0201_MeanDecodingIntensity_577F1:435.32;0201_MeanDecodingIntensity_577F2:473.81;0201AEB:00.2821;0201DecodingIntensityStdDev:111.228;0201DecodingIntensityStdDev_488:23.585;0201DecodingIntensityStdDev_647:18.904;0201DecodingIntensityStdDev_700:111.228;0201DecodingIntensityStdDev_750:10.490;0201F_on:0.2458;0201FillPercent:008.06;0201KineticInconsistentLower:0;0201KineticInconsistentMetadata:-480.387652549023|2.25;0201MeanDecodingIntensity:503.94;0201MeanDecodingIntensity_488:137.89;0201MeanDecodingIntensity_647:99.51;0201MeanDecodingIntensity_700:503.94;0201MeanDecodingIntensity_750:64.80;0201ReflectiveIntensity:12984.79;0201ReflectiveIntensityStdDev:548.097;0201SealTimeEstimate:22.0;2001_DecodingIntensityStdDev_577F1:62.276;2001_DecodingIntensityStdDev_577F2:127.745;2001_MeanDecodingIntensity_577F1:465.27;2001_MeanDecodingIntensity_577F2:503.92;2001AEB:00.2622;2001DecodingIntensityStdDev:219.195;2001DecodingIntensityStdDev_488:23.156;2001DecodingIntensityStdDev_647:5.365;2001DecodingIntensityStdDev_700:5.360;2001DecodingIntensityStdDev_750:219.195;2001F_on:0.2306;2001FillPercent:007.47;2001KineticInconsistentLower:0;2001KineticInconsistentMetadata:-502.838497175976|2.22;2001MeanDecodingIntensity:962.51;2001MeanDecodingIntensity_488:137.53;2001MeanDecodingIntensity_647:38.03;2001MeanDecodingIntensity_700:33.97;2001MeanDecodingIntensity_750:962.51;2001ReflectiveIntensity:12973.79;2001ReflectiveIntensityStdDev:563.709;2001SealTimeEstimate:22.5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10.63;Empties488F1MeanIntensity:65.97;Empties577F1IntensityStdDev:21.91;Empties577F1MeanIntensity:383.11;Empties577F2IntensityStdDev:24.22;Empties577F2MeanIntensity:380.57;Empties647F1IntensityStdDev:4.08;Empties647F1MeanIntensity:31.35;Empties700F1IntensityStdDev:3.96;Empties700F1MeanIntensity:29.08;Empties750F1IntensityStdDev:4.70;Empties750F1MeanIntensity:33.19;EmptiesIGrowth:167.02;EmptiesReflectiveIntensityStdDev:371.82;EmptiesReflectiveMeanIntensity:11726.60;Errors:;F2minusF1Shift:-0.3;FluorescenceClassification:Normal;Focus_FracImageLost:0.00;FocusScoresAvg:3.33;FocusScoresImageCenter:4.00;FocusScoresMax:5.06;FocusScoresMedian:3.34;FractionImageDebris:0.1276;FractionWellsDebris:0.1053;ImageQualityScoreIfUnpegged:1.00;IndexingWellsMissingFromFov:5552;IndexingWellsTotalLostBothVisibleAndMissing:7456;IndexingWellsVisibleInFovButRemoved:1904;L1DR time (ms):28342;NetBeadFillRate:23.90;NormalizedFillPercentage:034.01;Notes:Indexing: stripe across bottom | Xtalk: usable out of spec wv 577 sr 4 dir 5 value 0.043. | Xtalk: usable out of spec wv 577 sr 8 dir 4 value 0.038. | Xtalk: usable out of spec wv 577 sr 9 dir 5 value 0.036.;NumberDecSaturated:0;NumberEmpties:74690;NumberFlagged_DeadPixels:72.0000;NumberFlagged_Debris:19467.0000;NumberFlagged_MissingNeighbor:3585.0000;NumberFlagged_NeighborSaturated:06.0000;NumberFlagged_OutOfBounds:3191.0000;NumberFlagged_SaturatedPixelResorufinTwo:01.0000;NumberInvalidWells:23830;NumberPositiveEmpties:43;NumberPositives:20997;NumberResSaturated:1;NumberSaturatedWithoutDebris:0;NumberValidUnclassified:47850.00;NumberValidWells:161034;OddlyAggregatedFlag:2;OddlyAggregatedLocations:;OddlyAggregatedWorst:0;OffsetW488:( 1, 0 );OffsetW577:( 0, 0 );OffsetW647:( 0, 0 );OffsetW700:( 0, -1 );OffsetW750:( 0, -1 );ResorufinUnsaturated:0;ResorufinUnsaturatedMutated:0;ResorufinUnsaturaterNumberInFit:110;SaturatedDecodingWells:0;SuspiciousWells:24691;SuspiciousWellsFlagged:1;SuspiciousWellsLowerThreshold:4;Warnings:;WhiteLightChannelMedian:9630;XtalkSubregionsOutOfSpec:0</t>
  </si>
  <si>
    <t>0002_DecodingIntensityStdDev_577F1:61.120;0002_DecodingIntensityStdDev_577F2:128.210;0002_MeanDecodingIntensity_577F1:442.77;0002_MeanDecodingIntensity_577F2:478.77;0002AEB:00.2721;0002DecodingIntensityStdDev:355.352;0002DecodingIntensityStdDev_488:355.352;0002DecodingIntensityStdDev_647:4.982;0002DecodingIntensityStdDev_700:4.861;0002DecodingIntensityStdDev_750:5.975;0002F_on:0.2382;0002FillPercent:012.95;0002KineticInconsistentLower:0;0002KineticInconsistentMetadata:-505.079717495778|2.28;0002MeanDecodingIntensity:1621.38;0002MeanDecodingIntensity_488:1621.38;0002MeanDecodingIntensity_647:34.94;0002MeanDecodingIntensity_700:30.32;0002MeanDecodingIntensity_750:34.91;0002ReflectiveIntensity:13220.45;0002ReflectiveIntensityStdDev:634.663;0002SealTimeEstimate:21.4;0021_DecodingIntensityStdDev_577F1:54.406;0021_DecodingIntensityStdDev_577F2:115.331;0021_MeanDecodingIntensity_577F1:437.86;0021_MeanDecodingIntensity_577F2:475.27;0021AEB:00.2321;0021DecodingIntensityStdDev:86.291;0021DecodingIntensityStdDev_488:23.581;0021DecodingIntensityStdDev_647:86.291;0021DecodingIntensityStdDev_700:10.183;0021DecodingIntensityStdDev_750:6.304;0021F_on:0.2071;0021FillPercent:007.33;0021KineticInconsistentLower:0;0021KineticInconsistentMetadata:-527.855358609284|2.34;0021MeanDecodingIntensity:428.33;0021MeanDecodingIntensity_488:139.94;0021MeanDecodingIntensity_647:428.33;0021MeanDecodingIntensity_700:69.21;0021MeanDecodingIntensity_750:35.06;0021ReflectiveIntensity:12997.80;0021ReflectiveIntensityStdDev:553.441;0021SealTimeEstimate:20.4;0201_DecodingIntensityStdDev_577F1:65.385;0201_DecodingIntensityStdDev_577F2:139.144;0201_MeanDecodingIntensity_577F1:438.63;0201_MeanDecodingIntensity_577F2:477.43;0201AEB:00.3114;0201DecodingIntensityStdDev:120.424;0201DecodingIntensityStdDev_488:28.423;0201DecodingIntensityStdDev_647:20.417;0201DecodingIntensityStdDev_700:120.424;0201DecodingIntensityStdDev_750:11.388;0201F_on:0.2676;0201FillPercent:008.79;0201KineticInconsistentLower:0;0201KineticInconsistentMetadata:-485.097240571289|2.25;0201MeanDecodingIntensity:504.89;0201MeanDecodingIntensity_488:143.12;0201MeanDecodingIntensity_647:100.40;0201MeanDecodingIntensity_700:504.89;0201MeanDecodingIntensity_750:65.07;0201ReflectiveIntensity:13060.89;0201ReflectiveIntensityStdDev:594.232;0201SealTimeEstimate:22.0;2001_DecodingIntensityStdDev_577F1:60.474;2001_DecodingIntensityStdDev_577F2:125.556;2001_MeanDecodingIntensity_577F1:468.12;2001_MeanDecodingIntensity_577F2:507.05;2001AEB:00.3015;2001DecodingIntensityStdDev:220.628;2001DecodingIntensityStdDev_488:27.881;2001DecodingIntensityStdDev_647:5.679;2001DecodingIntensityStdDev_700:5.936;2001DecodingIntensityStdDev_750:220.628;2001F_on:0.2603;2001FillPercent:008.35;2001KineticInconsistentLower:0;2001KineticInconsistentMetadata:-514.175756648713|2.24;2001MeanDecodingIntensity:919.19;2001MeanDecodingIntensity_488:141.96;2001MeanDecodingIntensity_647:38.25;2001MeanDecodingIntensity_700:34.57;2001MeanDecodingIntensity_750:919.19;2001ReflectiveIntensity:13045.52;2001ReflectiveIntensityStdDev:593.303;2001SealTimeEstimate:22.2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12.58;Empties488F1MeanIntensity:69.81;Empties577F1IntensityStdDev:25.98;Empties577F1MeanIntensity:381.97;Empties577F2IntensityStdDev:32.62;Empties577F2MeanIntensity:379.80;Empties647F1IntensityStdDev:4.39;Empties647F1MeanIntensity:31.65;Empties700F1IntensityStdDev:4.36;Empties700F1MeanIntensity:29.42;Empties750F1IntensityStdDev:5.16;Empties750F1MeanIntensity:33.65;EmptiesIGrowth:217.72;EmptiesReflectiveIntensityStdDev:380.77;EmptiesReflectiveMeanIntensity:11750.73;Errors:;F2minusF1Shift:0.4;FluorescenceClassification:Normal;Focus_FracImageLost:0.00;FocusScoresAvg:3.30;FocusScoresImageCenter:4.25;FocusScoresMax:5.34;FocusScoresMedian:3.28;FractionImageDebris:0.1303;FractionWellsDebris:0.0990;ImageQualityScoreIfUnpegged:1.00;IndexingWellsMissingFromFov:7436;IndexingWellsTotalLostBothVisibleAndMissing:9320;IndexingWellsVisibleInFovButRemoved:1884;L1DR time (ms):28423;NetBeadFillRate:26.29;NormalizedFillPercentage:037.43;Notes:Indexing: stripe across bottom | Xtalk: usable out of spec wv 577 sr 8 dir 4 value 0.041.;NumberDecSaturated:0;NumberEmpties:70812;NumberFlagged_DeadPixels:79.0000;NumberFlagged_Debris:18136.0000;NumberFlagged_MissingNeighbor:3088.0000;NumberFlagged_NeighborSaturated:28.0000;NumberFlagged_OutOfBounds:3154.0000;NumberFlagged_SaturatedPixelResorufinTwo:06.0000;NumberInvalidWells:22106;NumberPositiveEmpties:89;NumberPositives:23649;NumberResSaturated:6;NumberSaturatedWithoutDebris:1;NumberValidUnclassified:47984.00;NumberValidWells:161157;OddlyAggregatedFlag:2;OddlyAggregatedLocations:;OddlyAggregatedWorst:0;OffsetW488:( 0, 0 );OffsetW577:( 0, 0 );OffsetW647:( 0, 0 );OffsetW700:( 0, 0 );OffsetW750:( 0, -1 );ResorufinUnsaturated:0;ResorufinUnsaturatedMutated:0;ResorufinUnsaturaterNumberInFit:100;SaturatedDecodingWells:0;SuspiciousWells:27502;SuspiciousWellsFlagged:1;SuspiciousWellsLowerThreshold:4;Warnings:;WhiteLightChannelMedian:9744;XtalkSubregionsOutOfSpec:0</t>
  </si>
  <si>
    <t>low-1-8-5</t>
  </si>
  <si>
    <t>Plate 1 - Well E7</t>
  </si>
  <si>
    <t>0002_DecodingIntensityStdDev_577F1:86.540;0002_DecodingIntensityStdDev_577F2:173.163;0002_MeanDecodingIntensity_577F1:539.04;0002_MeanDecodingIntensity_577F2:692.78;0002AEB:-;0002DecodingIntensityStdDev:363.758;0002DecodingIntensityStdDev_488:363.758;0002DecodingIntensityStdDev_647:4.962;0002DecodingIntensityStdDev_700:4.827;0002DecodingIntensityStdDev_750:6.174;0002F_on:0.9679;0002FillPercent:014.19;0002KineticInconsistentLower:0;0002KineticInconsistentMetadata:-456.39315807228|2.18;0002MeanDecodingIntensity:1619.82;0002MeanDecodingIntensity_488:1619.82;0002MeanDecodingIntensity_647:35.04;0002MeanDecodingIntensity_700:30.41;0002MeanDecodingIntensity_750:35.35;0002ReflectiveIntensity:13181.50;0002ReflectiveIntensityStdDev:608.091;0002SealTimeEstimate:23.3;0021_DecodingIntensityStdDev_577F1:98.684;0021_DecodingIntensityStdDev_577F2:202.909;0021_MeanDecodingIntensity_577F1:556.56;0021_MeanDecodingIntensity_577F2:740.21;0021AEB:-;0021DecodingIntensityStdDev:86.045;0021DecodingIntensityStdDev_488:22.869;0021DecodingIntensityStdDev_647:86.045;0021DecodingIntensityStdDev_700:10.019;0021DecodingIntensityStdDev_750:6.293;0021F_on:0.9874;0021FillPercent:008.51;0021KineticInconsistentLower:0;0021KineticInconsistentMetadata:-474.014689925746|2.23;0021MeanDecodingIntensity:439.87;0021MeanDecodingIntensity_488:141.45;0021MeanDecodingIntensity_647:439.87;0021MeanDecodingIntensity_700:70.62;0021MeanDecodingIntensity_750:35.30;0021ReflectiveIntensity:12943.51;0021ReflectiveIntensityStdDev:520.232;0021SealTimeEstimate:22.4;0201_DecodingIntensityStdDev_577F1:92.210;0201_DecodingIntensityStdDev_577F2:187.380;0201_MeanDecodingIntensity_577F1:551.34;0201_MeanDecodingIntensity_577F2:728.75;0201AEB:-;0201DecodingIntensityStdDev:113.733;0201DecodingIntensityStdDev_488:25.839;0201DecodingIntensityStdDev_647:17.492;0201DecodingIntensityStdDev_700:113.733;0201DecodingIntensityStdDev_750:11.134;0201F_on:0.9876;0201FillPercent:009.81;0201KineticInconsistentLower:0;0201KineticInconsistentMetadata:-467.897724864199|2.22;0201MeanDecodingIntensity:518.26;0201MeanDecodingIntensity_488:144.22;0201MeanDecodingIntensity_647:100.47;0201MeanDecodingIntensity_700:518.26;0201MeanDecodingIntensity_750:66.23;0201ReflectiveIntensity:12988.47;0201ReflectiveIntensityStdDev:547.502;0201SealTimeEstimate:22.5;2001_DecodingIntensityStdDev_577F1:99.577;2001_DecodingIntensityStdDev_577F2:201.098;2001_MeanDecodingIntensity_577F1:585.59;2001_MeanDecodingIntensity_577F2:766.20;2001AEB:-;2001DecodingIntensityStdDev:218.469;2001DecodingIntensityStdDev_488:25.188;2001DecodingIntensityStdDev_647:5.252;2001DecodingIntensityStdDev_700:5.523;2001DecodingIntensityStdDev_750:218.469;2001F_on:0.9855;2001FillPercent:009.31;2001KineticInconsistentLower:0;2001KineticInconsistentMetadata:-498.448196807198|2.21;2001MeanDecodingIntensity:1006.47;2001MeanDecodingIntensity_488:144.29;2001MeanDecodingIntensity_647:38.38;2001MeanDecodingIntensity_700:34.65;2001MeanDecodingIntensity_750:1006.47;2001ReflectiveIntensity:12983.90;2001ReflectiveIntensityStdDev:564.904;2001SealTimeEstimate:22.7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12.48;Empties488F1MeanIntensity:69.09;Empties577F1IntensityStdDev:26.28;Empties577F1MeanIntensity:379.15;Empties577F2IntensityStdDev:38.19;Empties577F2MeanIntensity:378.97;Empties647F1IntensityStdDev:4.34;Empties647F1MeanIntensity:31.40;Empties700F1IntensityStdDev:4.39;Empties700F1MeanIntensity:29.44;Empties750F1IntensityStdDev:5.34;Empties750F1MeanIntensity:33.84;EmptiesIGrowth:183.17;EmptiesReflectiveIntensityStdDev:383.32;EmptiesReflectiveMeanIntensity:11728.28;Errors:;F2minusF1Shift:-1.0;FittedF2OverF1Intercept:-518.517117943007;FittedF2OverF1Slope:2.06605913038647;FluorescenceClassification:Normal;Focus_FracImageLost:0.00;FocusScoresAvg:3.37;FocusScoresImageCenter:3.87;FocusScoresMax:5.10;FocusScoresMedian:3.30;FractionImageDebris:0.1465;FractionWellsDebris:0.1390;ImageQualityScoreIfUnpegged:1.00;IndexingWellsMissingFromFov:3899;IndexingWellsTotalLostBothVisibleAndMissing:5592;IndexingWellsVisibleInFovButRemoved:1693;L1DR time (ms):30392;NetBeadFillRate:29.34;NormalizedFillPercentage:041.82;Notes:Indexing: stripe across bottom | Xtalk: usable out of spec wv 577 sr 8 dir 4 value 0.038.;NumberDecSaturated:0;NumberEmpties:60579;NumberFlagged_DeadPixels:73.0000;NumberFlagged_Debris:26007.0000;NumberFlagged_MissingNeighbor:2878.0000;NumberFlagged_NeighborSaturated:06.0000;NumberFlagged_OddlyRecurrentClassification:17282.0000;NumberFlagged_OutOfBounds:3100.0000;NumberFlagged_SaturatedPixelResorufinTwo:01.0000;NumberInvalidWells:38788;NumberPositiveEmpties:153;NumberPositives:80330;NumberResSaturated:1;NumberSaturatedWithoutDebris:1;NumberValidUnclassified:44252.00;NumberValidWells:148367;OddlyAggregatedFlag:2;OddlyAggregatedLocations:;OddlyAggregatedWorst:0;OffsetW488:( 0, 0 );OffsetW577:( 0, 0 );OffsetW647:( 0, 0 );OffsetW700:( 0, 0 );OffsetW750:( 0, 0 );ResorufinUnsaturated:1;ResorufinUnsaturatedMutated:0;ResorufinUnsaturatedSuspiciousF1:0;ResorufinUnsaturaterNumberInFit:738;SaturatedDecodingWells:0;SuspiciousWells:23161;SuspiciousWellsFlagged:1;SuspiciousWellsLowerThreshold:5;Warnings:;WhiteLightChannelMedian:9771;XtalkSubregionsOutOfSpec:0</t>
  </si>
  <si>
    <t>0002_DecodingIntensityStdDev_577F1:75.449;0002_DecodingIntensityStdDev_577F2:166.563;0002_MeanDecodingIntensity_577F1:537.72;0002_MeanDecodingIntensity_577F2:700.56;0002AEB:-;0002DecodingIntensityStdDev:331.773;0002DecodingIntensityStdDev_488:331.773;0002DecodingIntensityStdDev_647:4.608;0002DecodingIntensityStdDev_700:4.408;0002DecodingIntensityStdDev_750:5.533;0002F_on:0.9775;0002FillPercent:013.16;0002KineticInconsistentLower:0;0002KineticInconsistentMetadata:-573.41923788523|2.42;0002MeanDecodingIntensity:1588.86;0002MeanDecodingIntensity_488:1588.86;0002MeanDecodingIntensity_647:34.55;0002MeanDecodingIntensity_700:29.87;0002MeanDecodingIntensity_750:34.43;0002ReflectiveIntensity:12909.77;0002ReflectiveIntensityStdDev:586.302;0002SealTimeEstimate:19.2;0021_DecodingIntensityStdDev_577F1:79.032;0021_DecodingIntensityStdDev_577F2:181.766;0021_MeanDecodingIntensity_577F1:553.16;0021_MeanDecodingIntensity_577F2:748.54;0021AEB:-;0021DecodingIntensityStdDev:76.550;0021DecodingIntensityStdDev_488:18.653;0021DecodingIntensityStdDev_647:76.550;0021DecodingIntensityStdDev_700:8.893;0021DecodingIntensityStdDev_750:5.385;0021F_on:0.9942;0021FillPercent:007.79;0021KineticInconsistentLower:0;0021KineticInconsistentMetadata:-606.747823237696|2.5;0021MeanDecodingIntensity:422.97;0021MeanDecodingIntensity_488:135.54;0021MeanDecodingIntensity_647:422.97;0021MeanDecodingIntensity_700:68.53;0021MeanDecodingIntensity_750:34.35;0021ReflectiveIntensity:12675.23;0021ReflectiveIntensityStdDev:488.331;0021SealTimeEstimate:18.2;0201_DecodingIntensityStdDev_577F1:90.144;0201_DecodingIntensityStdDev_577F2:203.581;0201_MeanDecodingIntensity_577F1:548.41;0201_MeanDecodingIntensity_577F2:737.83;0201AEB:-;0201DecodingIntensityStdDev:92.208;0201DecodingIntensityStdDev_488:19.769;0201DecodingIntensityStdDev_647:13.141;0201DecodingIntensityStdDev_700:92.208;0201DecodingIntensityStdDev_750:9.021;0201F_on:0.9916;0201FillPercent:008.75;0201KineticInconsistentLower:0;0201KineticInconsistentMetadata:-600.584239145033|2.49;0201MeanDecodingIntensity:499.87;0201MeanDecodingIntensity_488:136.99;0201MeanDecodingIntensity_647:96.97;0201MeanDecodingIntensity_700:499.87;0201MeanDecodingIntensity_750:63.63;0201ReflectiveIntensity:12698.33;0201ReflectiveIntensityStdDev:492.989;0201SealTimeEstimate:18.3;2001_DecodingIntensityStdDev_577F1:85.426;2001_DecodingIntensityStdDev_577F2:191.928;2001_MeanDecodingIntensity_577F1:577.82;2001_MeanDecodingIntensity_577F2:767.12;2001AEB:-;2001DecodingIntensityStdDev:186.309;2001DecodingIntensityStdDev_488:19.977;2001DecodingIntensityStdDev_647:4.908;2001DecodingIntensityStdDev_700:4.892;2001DecodingIntensityStdDev_750:186.309;2001F_on:0.9902;2001FillPercent:008.37;2001KineticInconsistentLower:0;2001KineticInconsistentMetadata:-631.006257410148|2.47;2001MeanDecodingIntensity:936.88;2001MeanDecodingIntensity_488:136.91;2001MeanDecodingIntensity_647:37.54;2001MeanDecodingIntensity_700:33.67;2001MeanDecodingIntensity_750:936.88;2001ReflectiveIntensity:12700.57;2001ReflectiveIntensityStdDev:525.905;2001SealTimeEstimate:18.6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10.53;Empties488F1MeanIntensity:69.25;Empties577F1IntensityStdDev:32.57;Empties577F1MeanIntensity:398.17;Empties577F2IntensityStdDev:60.52;Empties577F2MeanIntensity:398.62;Empties647F1IntensityStdDev:4.07;Empties647F1MeanIntensity:31.33;Empties700F1IntensityStdDev:3.97;Empties700F1MeanIntensity:29.20;Empties750F1IntensityStdDev:4.77;Empties750F1MeanIntensity:33.45;EmptiesIGrowth:276.88;EmptiesReflectiveIntensityStdDev:347.34;EmptiesReflectiveMeanIntensity:11545.68;Errors:;F2minusF1Shift:1.0;FittedF2OverF1Intercept:-575.247311407229;FittedF2OverF1Slope:2.27700385146283;FluorescenceClassification:Normal;Focus_FracImageLost:0.00;FocusScoresAvg:3.23;FocusScoresImageCenter:3.67;FocusScoresMax:4.86;FocusScoresMedian:3.14;FractionImageDebris:0.1399;FractionWellsDebris:0.1394;ImageQualityScoreIfUnpegged:1.00;IndexingWellsMissingFromFov:1509;IndexingWellsTotalLostBothVisibleAndMissing:3728;IndexingWellsVisibleInFovButRemoved:2219;L1DR time (ms):30147;NetBeadFillRate:26.75;NormalizedFillPercentage:038.07;Notes:Indexing: stripe across bottom | Xtalk: usable out of spec wv 577 sr 4 dir 5 value 0.036. | Xtalk: usable out of spec wv 577 sr 8 dir 5 value 0.038.;NumberDecSaturated:0;NumberEmpties:69504;NumberFlagged_DeadPixels:82.0000;NumberFlagged_Debris:26370.0000;NumberFlagged_MissingNeighbor:2150.0000;NumberFlagged_NeighborSaturated:24.0000;NumberFlagged_OddlyRecurrentClassification:1423.0000;NumberFlagged_OutOfBounds:3089.0000;NumberFlagged_SaturatedPixelResorufinTwo:04.0000;NumberFlagged_SaturationRemoverSuspiciousF1:03.0000;NumberInvalidWells:29410;NumberPositiveEmpties:221;NumberPositives:73171;NumberResSaturated:4;NumberSaturatedWithoutDebris:4;NumberValidUnclassified:47512.00;NumberValidWells:159745;OddlyAggregatedFlag:2;OddlyAggregatedLocations:;OddlyAggregatedWorst:0;OffsetW488:( 0, 0 );OffsetW577:( 0, 0 );OffsetW647:( 0, 1 );OffsetW700:( 0, 0 );OffsetW750:( 0, 0 );ResorufinUnsaturated:1;ResorufinUnsaturatedMutated:1;ResorufinUnsaturatedSuspiciousF1:3;ResorufinUnsaturaterNumberInFit:269;SaturatedDecodingWells:0;SuspiciousWells:26172;SuspiciousWellsFlagged:1;SuspiciousWellsLowerThreshold:3;Warnings:;WhiteLightChannelMedian:9622;XtalkSubregionsOutOfSpec:0</t>
  </si>
  <si>
    <t>0002_DecodingIntensityStdDev_577F1:81.372;0002_DecodingIntensityStdDev_577F2:170.267;0002_MeanDecodingIntensity_577F1:531.50;0002_MeanDecodingIntensity_577F2:690.38;0002AEB:-;0002DecodingIntensityStdDev:336.622;0002DecodingIntensityStdDev_488:336.622;0002DecodingIntensityStdDev_647:4.712;0002DecodingIntensityStdDev_700:4.649;0002DecodingIntensityStdDev_750:5.838;0002F_on:0.9704;0002FillPercent:012.38;0002KineticInconsistentLower:0;0002KineticInconsistentMetadata:-495.147497060962|2.28;0002MeanDecodingIntensity:1565.63;0002MeanDecodingIntensity_488:1565.63;0002MeanDecodingIntensity_647:34.70;0002MeanDecodingIntensity_700:30.02;0002MeanDecodingIntensity_750:34.69;0002ReflectiveIntensity:12941.61;0002ReflectiveIntensityStdDev:594.123;0002SealTimeEstimate:21.4;0021_DecodingIntensityStdDev_577F1:83.199;0021_DecodingIntensityStdDev_577F2:178.077;0021_MeanDecodingIntensity_577F1:549.03;0021_MeanDecodingIntensity_577F2:739.95;0021AEB:-;0021DecodingIntensityStdDev:79.355;0021DecodingIntensityStdDev_488:20.003;0021DecodingIntensityStdDev_647:79.355;0021DecodingIntensityStdDev_700:9.308;0021DecodingIntensityStdDev_750:5.867;0021F_on:0.9931;0021FillPercent:007.48;0021KineticInconsistentLower:0;0021KineticInconsistentMetadata:-517.641766472569|2.34;0021MeanDecodingIntensity:416.70;0021MeanDecodingIntensity_488:136.86;0021MeanDecodingIntensity_647:416.70;0021MeanDecodingIntensity_700:68.37;0021MeanDecodingIntensity_750:34.65;0021ReflectiveIntensity:12714.82;0021ReflectiveIntensityStdDev:487.602;0021SealTimeEstimate:20.4;0201_DecodingIntensityStdDev_577F1:84.062;0201_DecodingIntensityStdDev_577F2:179.194;0201_MeanDecodingIntensity_577F1:545.73;0201_MeanDecodingIntensity_577F2:731.36;0201AEB:-;0201DecodingIntensityStdDev:104.046;0201DecodingIntensityStdDev_488:23.059;0201DecodingIntensityStdDev_647:15.352;0201DecodingIntensityStdDev_700:104.046;0201DecodingIntensityStdDev_750:10.536;0201F_on:0.9906;0201FillPercent:008.62;0201KineticInconsistentLower:0;0201KineticInconsistentMetadata:-512.330357750278|2.33;0201MeanDecodingIntensity:495.21;0201MeanDecodingIntensity_488:139.48;0201MeanDecodingIntensity_647:97.40;0201MeanDecodingIntensity_700:495.21;0201MeanDecodingIntensity_750:64.73;0201ReflectiveIntensity:12755.63;0201ReflectiveIntensityStdDev:522.055;0201SealTimeEstimate:20.6;2001_DecodingIntensityStdDev_577F1:88.661;2001_DecodingIntensityStdDev_577F2:187.712;2001_MeanDecodingIntensity_577F1:577.02;2001_MeanDecodingIntensity_577F2:764.71;2001AEB:-;2001DecodingIntensityStdDev:211.903;2001DecodingIntensityStdDev_488:22.743;2001DecodingIntensityStdDev_647:5.177;2001DecodingIntensityStdDev_700:5.359;2001DecodingIntensityStdDev_750:211.903;2001F_on:0.9898;2001FillPercent:008.16;2001KineticInconsistentLower:0;2001KineticInconsistentMetadata:-544.543030838322|2.32;2001MeanDecodingIntensity:957.08;2001MeanDecodingIntensity_488:139.67;2001MeanDecodingIntensity_647:37.86;2001MeanDecodingIntensity_700:34.09;2001MeanDecodingIntensity_750:957.08;2001ReflectiveIntensity:12762.20;2001ReflectiveIntensityStdDev:532.723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11.24;Empties488F1MeanIntensity:70.17;Empties577F1IntensityStdDev:19.59;Empties577F1MeanIntensity:389.10;Empties577F2IntensityStdDev:25.54;Empties577F2MeanIntensity:388.93;Empties647F1IntensityStdDev:4.22;Empties647F1MeanIntensity:31.47;Empties700F1IntensityStdDev:4.12;Empties700F1MeanIntensity:29.32;Empties750F1IntensityStdDev:4.99;Empties750F1MeanIntensity:33.59;EmptiesIGrowth:153.47;EmptiesReflectiveIntensityStdDev:338.92;EmptiesReflectiveMeanIntensity:11513.04;Errors:;F2minusF1Shift:0.0;FittedF2OverF1Intercept:-595.358382989778;FittedF2OverF1Slope:2.17651467242204;FluorescenceClassification:Normal;Focus_FracImageLost:0.00;FocusScoresAvg:3.23;FocusScoresImageCenter:3.90;FocusScoresMax:4.80;FocusScoresMedian:3.19;FractionImageDebris:0.1340;FractionWellsDebris:0.1242;ImageQualityScoreIfUnpegged:0.60;IndexingWellsMissingFromFov:3383;IndexingWellsTotalLostBothVisibleAndMissing:5592;IndexingWellsVisibleInFovButRemoved:2209;L1DR time (ms):28926;NetBeadFillRate:25.72;NormalizedFillPercentage:036.63;Notes:Indexing: stripe across bottom | Xtalk: usable out of spec wv 577 sr 4 dir 5 value 0.043. | Xtalk: usable out of spec wv 577 sr 9 dir 5 value 0.036.;NumberDecSaturated:0;NumberEmpties:64672;NumberFlagged_DeadPixels:77.0000;NumberFlagged_Debris:23252.0000;NumberFlagged_MissingNeighbor:2681.0000;NumberFlagged_NeighborSaturated:12.0000;NumberFlagged_OddlyRecurrentClassification:9281.0000;NumberFlagged_OutOfBounds:3101.0000;NumberFlagged_OutOfSpecXtalk:14486.0000;NumberFlagged_SaturatedPixelResorufinTwo:02.0000;NumberFlagged_SaturationRemoverSuspiciousF1:02.0000;NumberInvalidWells:41889;NumberPositiveEmpties:124;NumberPositives:71071;NumberResSaturated:2;NumberSaturatedWithoutDebris:1;NumberValidUnclassified:43257.00;NumberValidWells:145308;OddlyAggregatedFlag:2;OddlyAggregatedLocations:;OddlyAggregatedWorst:0;OffsetW488:( 0, 0 );OffsetW577:( 0, 0 );OffsetW647:( 0, 0 );OffsetW700:( 0, 0 );OffsetW750:( 0, 0 );ResorufinUnsaturated:1;ResorufinUnsaturatedMutated:0;ResorufinUnsaturatedSuspiciousF1:2;ResorufinUnsaturaterNumberInFit:466;SaturatedDecodingWells:0;SuspiciousWells:23538;SuspiciousWellsFlagged:1;SuspiciousWellsLowerThreshold:4;Warnings:Xtalk: unusable out of spec wv 577 sr 8 dir 5 value 0.050.;WhiteLightChannelMedian:9591;XtalkSubregionsOutOfSpec:1</t>
  </si>
  <si>
    <t>low-1-8-6</t>
  </si>
  <si>
    <t>Plate 1 - Well F7</t>
  </si>
  <si>
    <t>0002_DecodingIntensityStdDev_577F1:58.435;0002_DecodingIntensityStdDev_577F2:115.954;0002_MeanDecodingIntensity_577F1:448.93;0002_MeanDecodingIntensity_577F2:490.74;0002AEB:00.3435;0002DecodingIntensityStdDev:369.524;0002DecodingIntensityStdDev_488:369.524;0002DecodingIntensityStdDev_647:4.949;0002DecodingIntensityStdDev_700:4.770;0002DecodingIntensityStdDev_750:5.994;0002F_on:0.2907;0002FillPercent:012.85;0002KineticInconsistentLower:0;0002KineticInconsistentMetadata:-418.525209577716|2.08;0002MeanDecodingIntensity:1631.02;0002MeanDecodingIntensity_488:1631.02;0002MeanDecodingIntensity_647:35.09;0002MeanDecodingIntensity_700:30.35;0002MeanDecodingIntensity_750:35.11;0002ReflectiveIntensity:13054.73;0002ReflectiveIntensityStdDev:654.949;0002SealTimeEstimate:25.6;0021_DecodingIntensityStdDev_577F1:62.574;0021_DecodingIntensityStdDev_577F2:125.833;0021_MeanDecodingIntensity_577F1:443.79;0021_MeanDecodingIntensity_577F2:488.01;0021AEB:00.2995;0021DecodingIntensityStdDev:87.061;0021DecodingIntensityStdDev_488:23.025;0021DecodingIntensityStdDev_647:87.061;0021DecodingIntensityStdDev_700:10.194;0021DecodingIntensityStdDev_750:6.112;0021F_on:0.2588;0021FillPercent:007.71;0021KineticInconsistentLower:0;0021KineticInconsistentMetadata:-400.946959868527|2.06;0021MeanDecodingIntensity:429.41;0021MeanDecodingIntensity_488:143.17;0021MeanDecodingIntensity_647:429.41;0021MeanDecodingIntensity_700:70.13;0021MeanDecodingIntensity_750:35.10;0021ReflectiveIntensity:12820.55;0021ReflectiveIntensityStdDev:553.552;0021SealTimeEstimate:26.1;0201_DecodingIntensityStdDev_577F1:58.572;0201_DecodingIntensityStdDev_577F2:116.505;0201_MeanDecodingIntensity_577F1:441.86;0201_MeanDecodingIntensity_577F2:484.25;0201AEB:00.3123;0201DecodingIntensityStdDev:119.551;0201DecodingIntensityStdDev_488:26.125;0201DecodingIntensityStdDev_647:17.826;0201DecodingIntensityStdDev_700:119.551;0201DecodingIntensityStdDev_750:11.217;0201F_on:0.2682;0201FillPercent:008.94;0201KineticInconsistentLower:0;0201KineticInconsistentMetadata:-386.871163730162|2.03;0201MeanDecodingIntensity:514.02;0201MeanDecodingIntensity_488:145.56;0201MeanDecodingIntensity_647:98.68;0201MeanDecodingIntensity_700:514.02;0201MeanDecodingIntensity_750:65.64;0201ReflectiveIntensity:12855.07;0201ReflectiveIntensityStdDev:585.892;0201SealTimeEstimate:26.9;2001_DecodingIntensityStdDev_577F1:57.873;2001_DecodingIntensityStdDev_577F2:114.940;2001_MeanDecodingIntensity_577F1:473.52;2001_MeanDecodingIntensity_577F2:515.90;2001AEB:00.3114;2001DecodingIntensityStdDev:225.352;2001DecodingIntensityStdDev_488:24.465;2001DecodingIntensityStdDev_647:5.606;2001DecodingIntensityStdDev_700:5.574;2001DecodingIntensityStdDev_750:225.352;2001F_on:0.2676;2001FillPercent:008.46;2001KineticInconsistentLower:0;2001KineticInconsistentMetadata:-411.858049327847|2.02;2001MeanDecodingIntensity:979.09;2001MeanDecodingIntensity_488:145.01;2001MeanDecodingIntensity_647:38.32;2001MeanDecodingIntensity_700:34.43;2001MeanDecodingIntensity_750:979.09;2001ReflectiveIntensity:12864.43;2001ReflectiveIntensityStdDev:594.218;2001SealTimeEstimate:27.2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12.13;Empties488F1MeanIntensity:72.59;Empties577F1IntensityStdDev:24.62;Empties577F1MeanIntensity:383.91;Empties577F2IntensityStdDev:36.93;Empties577F2MeanIntensity:382.33;Empties647F1IntensityStdDev:4.41;Empties647F1MeanIntensity:31.81;Empties700F1IntensityStdDev:4.31;Empties700F1MeanIntensity:29.59;Empties750F1IntensityStdDev:5.17;Empties750F1MeanIntensity:33.88;EmptiesIGrowth:285.50;EmptiesReflectiveIntensityStdDev:378.61;EmptiesReflectiveMeanIntensity:11578.65;Errors:;F2minusF1Shift:-1.7;FluorescenceClassification:Normal;Focus_FracImageLost:0.00;FocusScoresAvg:3.30;FocusScoresImageCenter:3.73;FocusScoresMax:4.80;FocusScoresMedian:3.24;FractionImageDebris:0.1136;FractionWellsDebris:0.0824;ImageQualityScoreIfUnpegged:1.00;IndexingWellsMissingFromFov:8195;IndexingWellsTotalLostBothVisibleAndMissing:9320;IndexingWellsVisibleInFovButRemoved:1125;L1DR time (ms):27336;NetBeadFillRate:26.66;NormalizedFillPercentage:037.96;Notes:Indexing: stripe across bottom | Xtalk: usable out of spec wv 577 sr 11 dir 3 value 0.036.;NumberDecSaturated:0;NumberEmpties:71736;NumberFlagged_DeadPixels:64.0000;NumberFlagged_Debris:15122.0000;NumberFlagged_MissingNeighbor:2952.0000;NumberFlagged_NeighborSaturated:06.0000;NumberFlagged_OddlyRecurrentClassification:1794.0000;NumberFlagged_OutOfBounds:3051.0000;NumberFlagged_SaturatedPixelResorufinTwo:01.0000;NumberInvalidWells:18885;NumberPositiveEmpties:110;NumberPositives:28300;NumberResSaturated:1;NumberSaturatedWithoutDebris:0;NumberValidUnclassified:49052.00;NumberValidWells:164685;OddlyAggregatedFlag:2;OddlyAggregatedLocations:;OddlyAggregatedWorst:0;OffsetW488:( 0, 0 );OffsetW577:( 0, 0 );OffsetW647:( 0, 1 );OffsetW700:( 0, 0 );OffsetW750:( 0, 0 );ResorufinUnsaturated:0;ResorufinUnsaturatedMutated:0;ResorufinUnsaturaterNumberInFit:128;SaturatedDecodingWells:0;SuspiciousWells:27119;SuspiciousWellsFlagged:1;SuspiciousWellsLowerThreshold:4;Warnings:;WhiteLightChannelMedian:9626;XtalkSubregionsOutOfSpec:0</t>
  </si>
  <si>
    <t>0002_DecodingIntensityStdDev_577F1:51.668;0002_DecodingIntensityStdDev_577F2:104.436;0002_MeanDecodingIntensity_577F1:442.76;0002_MeanDecodingIntensity_577F2:482.19;0002AEB:00.3265;0002DecodingIntensityStdDev:342.546;0002DecodingIntensityStdDev_488:342.546;0002DecodingIntensityStdDev_647:4.654;0002DecodingIntensityStdDev_700:4.393;0002DecodingIntensityStdDev_750:5.420;0002F_on:0.2785;0002FillPercent:009.79;0002KineticInconsistentLower:0;0002KineticInconsistentMetadata:-432.408640442102|2.12;0002MeanDecodingIntensity:1557.31;0002MeanDecodingIntensity_488:1557.31;0002MeanDecodingIntensity_647:34.52;0002MeanDecodingIntensity_700:29.81;0002MeanDecodingIntensity_750:34.20;0002ReflectiveIntensity:12828.42;0002ReflectiveIntensityStdDev:613.727;0002SealTimeEstimate:24.7;0021_DecodingIntensityStdDev_577F1:52.899;0021_DecodingIntensityStdDev_577F2:109.277;0021_MeanDecodingIntensity_577F1:439.15;0021_MeanDecodingIntensity_577F2:480.85;0021AEB:00.3611;0021DecodingIntensityStdDev:82.542;0021DecodingIntensityStdDev_488:19.891;0021DecodingIntensityStdDev_647:82.542;0021DecodingIntensityStdDev_700:9.386;0021DecodingIntensityStdDev_750:5.722;0021F_on:0.3031;0021FillPercent:005.57;0021KineticInconsistentLower:0;0021KineticInconsistentMetadata:-427.339304260337|2.12;0021MeanDecodingIntensity:414.50;0021MeanDecodingIntensity_488:137.83;0021MeanDecodingIntensity_647:414.50;0021MeanDecodingIntensity_700:67.83;0021MeanDecodingIntensity_750:34.31;0021ReflectiveIntensity:12616.13;0021ReflectiveIntensityStdDev:531.943;0021SealTimeEstimate:24.7;0201_DecodingIntensityStdDev_577F1:47.647;0201_DecodingIntensityStdDev_577F2:96.278;0201_MeanDecodingIntensity_577F1:438.23;0201_MeanDecodingIntensity_577F2:478.53;0201AEB:00.3848;0201DecodingIntensityStdDev:115.109;0201DecodingIntensityStdDev_488:22.959;0201DecodingIntensityStdDev_647:16.823;0201DecodingIntensityStdDev_700:115.109;0201DecodingIntensityStdDev_750:10.375;0201F_on:0.3194;0201FillPercent:006.51;0201KineticInconsistentLower:0;0201KineticInconsistentMetadata:-400.167298844071|2.06;0201MeanDecodingIntensity:492.41;0201MeanDecodingIntensity_488:139.99;0201MeanDecodingIntensity_647:96.08;0201MeanDecodingIntensity_700:492.41;0201MeanDecodingIntensity_750:63.71;0201ReflectiveIntensity:12674.00;0201ReflectiveIntensityStdDev:558.635;0201SealTimeEstimate:26.1;2001_DecodingIntensityStdDev_577F1:57.605;2001_DecodingIntensityStdDev_577F2:117.304;2001_MeanDecodingIntensity_577F1:468.43;2001_MeanDecodingIntensity_577F2:508.46;2001AEB:00.3474;2001DecodingIntensityStdDev:223.236;2001DecodingIntensityStdDev_488:22.189;2001DecodingIntensityStdDev_647:5.320;2001DecodingIntensityStdDev_700:5.258;2001DecodingIntensityStdDev_750:223.236;2001F_on:0.2935;2001FillPercent:006.19;2001KineticInconsistentLower:0;2001KineticInconsistentMetadata:-406.02816050493|2.01;2001MeanDecodingIntensity:949.01;2001MeanDecodingIntensity_488:139.34;2001MeanDecodingIntensity_647:37.87;2001MeanDecodingIntensity_700:33.99;2001MeanDecodingIntensity_750:949.01;2001ReflectiveIntensity:12671.56;2001ReflectiveIntensityStdDev:580.890;2001SealTimeEstimate:27.5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10.00;Empties488F1MeanIntensity:70.42;Empties577F1IntensityStdDev:16.95;Empties577F1MeanIntensity:383.53;Empties577F2IntensityStdDev:18.80;Empties577F2MeanIntensity:380.78;Empties647F1IntensityStdDev:4.01;Empties647F1MeanIntensity:31.49;Empties700F1IntensityStdDev:3.85;Empties700F1MeanIntensity:29.14;Empties750F1IntensityStdDev:4.53;Empties750F1MeanIntensity:33.23;EmptiesIGrowth:111.13;EmptiesReflectiveIntensityStdDev:339.89;EmptiesReflectiveMeanIntensity:11416.89;Errors:;F2minusF1Shift:1.0;FluorescenceClassification:Normal;Focus_FracImageLost:0.00;FocusScoresAvg:2.90;FocusScoresImageCenter:3.37;FocusScoresMax:4.31;FocusScoresMedian:2.87;FractionImageDebris:0.1299;FractionWellsDebris:0.0867;ImageQualityScoreIfUnpegged:1.00;IndexingWellsMissingFromFov:9808;IndexingWellsTotalLostBothVisibleAndMissing:11184;IndexingWellsVisibleInFovButRemoved:1376;L1DR time (ms):27502;NetBeadFillRate:19.74;NormalizedFillPercentage:028.06;Notes:Indexing: stripe across bottom | Xtalk: usable out of spec wv 577 sr 7 dir 3 value 0.038.;NumberDecSaturated:0;NumberEmpties:82348;NumberFlagged_DeadPixels:80.0000;NumberFlagged_Debris:15754.0000;NumberFlagged_MissingNeighbor:2698.0000;NumberFlagged_NeighborSaturated:06.0000;NumberFlagged_OddlyRecurrentClassification:755.0000;NumberFlagged_OutOfBounds:3054.0000;NumberFlagged_SaturatedPixelResorufinTwo:01.0000;NumberInvalidWells:19084;NumberPositiveEmpties:50;NumberPositives:21261;NumberResSaturated:1;NumberSaturatedWithoutDebris:1;NumberValidUnclassified:48211.00;NumberValidWells:162680;OddlyAggregatedFlag:2;OddlyAggregatedLocations:;OddlyAggregatedWorst:0;OffsetW488:( 0, 0 );OffsetW577:( 0, 0 );OffsetW647:( 0, 1 );OffsetW700:( 0, 0 );OffsetW750:( 0, 0 );ResorufinUnsaturated:0;ResorufinUnsaturatedMutated:0;ResorufinUnsaturaterNumberInFit:57;SaturatedDecodingWells:0;SuspiciousWells:25139;SuspiciousWellsFlagged:1;SuspiciousWellsLowerThreshold:3;Warnings:;WhiteLightChannelMedian:9519;XtalkSubregionsOutOfSpec:0</t>
  </si>
  <si>
    <t>0002_DecodingIntensityStdDev_577F1:57.031;0002_DecodingIntensityStdDev_577F2:114.408;0002_MeanDecodingIntensity_577F1:446.95;0002_MeanDecodingIntensity_577F2:488.49;0002AEB:00.3492;0002DecodingIntensityStdDev:368.909;0002DecodingIntensityStdDev_488:368.909;0002DecodingIntensityStdDev_647:4.840;0002DecodingIntensityStdDev_700:4.592;0002DecodingIntensityStdDev_750:5.885;0002F_on:0.2947;0002FillPercent:012.50;0002KineticInconsistentLower:0;0002KineticInconsistentMetadata:-440.370044105408|2.13;0002MeanDecodingIntensity:1633.36;0002MeanDecodingIntensity_488:1633.36;0002MeanDecodingIntensity_647:34.83;0002MeanDecodingIntensity_700:30.18;0002MeanDecodingIntensity_750:34.85;0002ReflectiveIntensity:12842.17;0002ReflectiveIntensityStdDev:649.701;0002SealTimeEstimate:24.4;0021_DecodingIntensityStdDev_577F1:60.822;0021_DecodingIntensityStdDev_577F2:127.647;0021_MeanDecodingIntensity_577F1:441.50;0021_MeanDecodingIntensity_577F2:484.54;0021AEB:00.3689;0021DecodingIntensityStdDev:85.405;0021DecodingIntensityStdDev_488:20.190;0021DecodingIntensityStdDev_647:85.405;0021DecodingIntensityStdDev_700:9.697;0021DecodingIntensityStdDev_750:5.934;0021F_on:0.3085;0021FillPercent:007.55;0021KineticInconsistentLower:0;0021KineticInconsistentMetadata:-433.685340650086|2.13;0021MeanDecodingIntensity:423.13;0021MeanDecodingIntensity_488:140.88;0021MeanDecodingIntensity_647:423.13;0021MeanDecodingIntensity_700:69.43;0021MeanDecodingIntensity_750:34.92;0021ReflectiveIntensity:12613.35;0021ReflectiveIntensityStdDev:530.028;0021SealTimeEstimate:24.4;0201_DecodingIntensityStdDev_577F1:55.565;0201_DecodingIntensityStdDev_577F2:113.147;0201_MeanDecodingIntensity_577F1:440.71;0201_MeanDecodingIntensity_577F2:482.89;0201AEB:00.3227;0201DecodingIntensityStdDev:112.997;0201DecodingIntensityStdDev_488:23.520;0201DecodingIntensityStdDev_647:16.422;0201DecodingIntensityStdDev_700:112.997;0201DecodingIntensityStdDev_750:10.472;0201F_on:0.2758;0201FillPercent:008.68;0201KineticInconsistentLower:0;0201KineticInconsistentMetadata:-433.233373817021|2.13;0201MeanDecodingIntensity:510.24;0201MeanDecodingIntensity_488:143.05;0201MeanDecodingIntensity_647:97.63;0201MeanDecodingIntensity_700:510.24;0201MeanDecodingIntensity_750:64.84;0201ReflectiveIntensity:12652.70;0201ReflectiveIntensityStdDev:558.015;0201SealTimeEstimate:24.4;2001_DecodingIntensityStdDev_577F1:65.146;2001_DecodingIntensityStdDev_577F2:131.774;2001_MeanDecodingIntensity_577F1:471.82;2001_MeanDecodingIntensity_577F2:513.66;2001AEB:00.3517;2001DecodingIntensityStdDev:215.024;2001DecodingIntensityStdDev_488:22.015;2001DecodingIntensityStdDev_647:5.318;2001DecodingIntensityStdDev_700:5.293;2001DecodingIntensityStdDev_750:215.024;2001F_on:0.2965;2001FillPercent:008.35;2001KineticInconsistentLower:0;2001KineticInconsistentMetadata:-421.798015764981|2.04;2001MeanDecodingIntensity:964.04;2001MeanDecodingIntensity_488:142.68;2001MeanDecodingIntensity_647:38.04;2001MeanDecodingIntensity_700:34.32;2001MeanDecodingIntensity_750:964.04;2001ReflectiveIntensity:12660.58;2001ReflectiveIntensityStdDev:572.530;2001SealTimeEstimate:26.7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11.44;Empties488F1MeanIntensity:72.71;Empties577F1IntensityStdDev:18.28;Empties577F1MeanIntensity:384.65;Empties577F2IntensityStdDev:22.35;Empties577F2MeanIntensity:382.36;Empties647F1IntensityStdDev:4.26;Empties647F1MeanIntensity:31.66;Empties700F1IntensityStdDev:4.15;Empties700F1MeanIntensity:29.50;Empties750F1IntensityStdDev:4.99;Empties750F1MeanIntensity:33.79;EmptiesIGrowth:141.49;EmptiesReflectiveIntensityStdDev:345.35;EmptiesReflectiveMeanIntensity:11383.07;Errors:;F2minusF1Shift:-0.6;FluorescenceClassification:Normal;Focus_FracImageLost:0.00;FocusScoresAvg:3.17;FocusScoresImageCenter:3.67;FocusScoresMax:4.63;FocusScoresMedian:3.11;FractionImageDebris:0.1096;FractionWellsDebris:0.0965;ImageQualityScoreIfUnpegged:1.00;IndexingWellsMissingFromFov:4862;IndexingWellsTotalLostBothVisibleAndMissing:5592;IndexingWellsVisibleInFovButRemoved:730;L1DR time (ms):28543;NetBeadFillRate:26.05;NormalizedFillPercentage:037.08;Notes:Indexing: stripe across bottom | Xtalk: usable out of spec wv 577 sr 8 dir 5 value 0.038.;NumberDecSaturated:1;NumberEmpties:73272;NumberFlagged_DeadPixels:83.0000;NumberFlagged_Debris:18067.0000;NumberFlagged_MissingNeighbor:2697.0000;NumberFlagged_NeighborSaturated:12.0000;NumberFlagged_OddlyRecurrentClassification:2805.0000;NumberFlagged_OutOfBounds:3123.0000;NumberFlagged_SaturatedPixelDecodingFour:01.0000;NumberFlagged_SaturatedPixelResorufinTwo:01.0000;NumberInvalidWells:21516;NumberPositiveEmpties:66;NumberPositives:29023;NumberResSaturated:1;NumberSaturatedWithoutDebris:2;NumberValidUnclassified:49315.00;NumberValidWells:165775;OddlyAggregatedFlag:2;OddlyAggregatedLocations:;OddlyAggregatedWorst:0;OffsetW488:( 0, 0 );OffsetW577:( 0, 0 );OffsetW647:( 0, 1 );OffsetW700:( 0, 0 );OffsetW750:( 0, 0 );ResorufinUnsaturated:0;ResorufinUnsaturatedMutated:0;ResorufinUnsaturaterNumberInFit:141;SaturatedDecodingWells:1;SuspiciousWells:23308;SuspiciousWellsFlagged:1;SuspiciousWellsLowerThreshold:4;Warnings:;WhiteLightChannelMedian:9618;XtalkSubregionsOutOfSpec:0</t>
  </si>
  <si>
    <t>high-1-8-6</t>
  </si>
  <si>
    <t>Plate 1 - Well A9</t>
  </si>
  <si>
    <t>0002_DecodingIntensityStdDev_577F1:48.572;0002_DecodingIntensityStdDev_577F2:95.983;0002_MeanDecodingIntensity_577F1:441.10;0002_MeanDecodingIntensity_577F2:466.11;0002AEB:00.1572;0002DecodingIntensityStdDev:368.624;0002DecodingIntensityStdDev_488:368.624;0002DecodingIntensityStdDev_647:4.756;0002DecodingIntensityStdDev_700:4.637;0002DecodingIntensityStdDev_750:5.938;0002F_on:0.1455;0002FillPercent:012.80;0002KineticInconsistentLower:0;0002KineticInconsistentMetadata:-507.518704328882|2.25;0002MeanDecodingIntensity:1613.21;0002MeanDecodingIntensity_488:1613.21;0002MeanDecodingIntensity_647:34.79;0002MeanDecodingIntensity_700:30.18;0002MeanDecodingIntensity_750:34.86;0002ReflectiveIntensity:13007.05;0002ReflectiveIntensityStdDev:626.077;0002SealTimeEstimate:22.0;0021_DecodingIntensityStdDev_577F1:44.360;0021_DecodingIntensityStdDev_577F2:89.163;0021_MeanDecodingIntensity_577F1:434.55;0021_MeanDecodingIntensity_577F2:459.71;0021AEB:00.1497;0021DecodingIntensityStdDev:86.815;0021DecodingIntensityStdDev_488:20.599;0021DecodingIntensityStdDev_647:86.815;0021DecodingIntensityStdDev_700:10.053;0021DecodingIntensityStdDev_750:6.066;0021F_on:0.1390;0021FillPercent:007.68;0021KineticInconsistentLower:0;0021KineticInconsistentMetadata:-470.772350044929|2.19;0021MeanDecodingIntensity:431.23;0021MeanDecodingIntensity_488:140.11;0021MeanDecodingIntensity_647:431.23;0021MeanDecodingIntensity_700:70.09;0021MeanDecodingIntensity_750:34.92;0021ReflectiveIntensity:12769.39;0021ReflectiveIntensityStdDev:536.999;0021SealTimeEstimate:23.1;0201_DecodingIntensityStdDev_577F1:50.872;0201_DecodingIntensityStdDev_577F2:101.348;0201_MeanDecodingIntensity_577F1:433.36;0201_MeanDecodingIntensity_577F2:457.94;0201AEB:00.1513;0201DecodingIntensityStdDev:110.486;0201DecodingIntensityStdDev_488:23.067;0201DecodingIntensityStdDev_647:15.955;0201DecodingIntensityStdDev_700:110.486;0201DecodingIntensityStdDev_750:10.585;0201F_on:0.1404;0201FillPercent:008.78;0201KineticInconsistentLower:0;0201KineticInconsistentMetadata:-473.040206541735|2.2;0201MeanDecodingIntensity:516.32;0201MeanDecodingIntensity_488:142.11;0201MeanDecodingIntensity_647:99.63;0201MeanDecodingIntensity_700:516.32;0201MeanDecodingIntensity_750:65.97;0201ReflectiveIntensity:12807.35;0201ReflectiveIntensityStdDev:538.512;0201SealTimeEstimate:22.9;2001_DecodingIntensityStdDev_577F1:54.633;2001_DecodingIntensityStdDev_577F2:110.709;2001_MeanDecodingIntensity_577F1:465.72;2001_MeanDecodingIntensity_577F2:490.75;2001AEB:00.1620;2001DecodingIntensityStdDev:219.883;2001DecodingIntensityStdDev_488:22.554;2001DecodingIntensityStdDev_647:5.271;2001DecodingIntensityStdDev_700:5.367;2001DecodingIntensityStdDev_750:219.883;2001F_on:0.1495;2001FillPercent:008.39;2001KineticInconsistentLower:0;2001KineticInconsistentMetadata:-495.396769361101|2.17;2001MeanDecodingIntensity:986.04;2001MeanDecodingIntensity_488:141.67;2001MeanDecodingIntensity_647:38.04;2001MeanDecodingIntensity_700:34.48;2001MeanDecodingIntensity_750:986.04;2001ReflectiveIntensity:12806.23;2001ReflectiveIntensityStdDev:550.153;2001SealTimeEstimate:23.6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11.72;Empties488F1MeanIntensity:71.24;Empties577F1IntensityStdDev:18.61;Empties577F1MeanIntensity:389.89;Empties577F2IntensityStdDev:21.50;Empties577F2MeanIntensity:387.27;Empties647F1IntensityStdDev:4.36;Empties647F1MeanIntensity:31.68;Empties700F1IntensityStdDev:4.32;Empties700F1MeanIntensity:29.55;Empties750F1IntensityStdDev:5.19;Empties750F1MeanIntensity:33.87;EmptiesIGrowth:151.31;EmptiesReflectiveIntensityStdDev:334.65;EmptiesReflectiveMeanIntensity:11520.64;Errors:;F2minusF1Shift:-0.6;FluorescenceClassification:Normal;Focus_FracImageLost:0.00;FocusScoresAvg:3.18;FocusScoresImageCenter:3.97;FocusScoresMax:4.68;FocusScoresMedian:3.20;FractionImageDebris:0.1111;FractionWellsDebris:0.1048;ImageQualityScoreIfUnpegged:1.00;IndexingWellsMissingFromFov:2030;IndexingWellsTotalLostBothVisibleAndMissing:3728;IndexingWellsVisibleInFovButRemoved:1698;L1DR time (ms):28788;NetBeadFillRate:26.44;NormalizedFillPercentage:037.65;Notes:Indexing: stripe across bottom;NumberDecSaturated:2;NumberEmpties:72740;NumberFlagged_DeadPixels:75.0000;NumberFlagged_Debris:19803.0000;NumberFlagged_MissingNeighbor:2519.0000;NumberFlagged_NeighborSaturated:18.0000;NumberFlagged_OddlyRecurrentClassification:2128.0000;NumberFlagged_OutOfBounds:3073.0000;NumberFlagged_SaturatedPixelDecodingFour:02.0000;NumberFlagged_SaturatedPixelResorufinTwo:01.0000;NumberInvalidWells:22932;NumberPositiveEmpties:46;NumberPositives:14897;NumberResSaturated:1;NumberSaturatedWithoutDebris:3;NumberValidUnclassified:49429.00;NumberValidWells:166092;OddlyAggregatedFlag:2;OddlyAggregatedLocations:;OddlyAggregatedWorst:0;OffsetW488:( 0, 0 );OffsetW577:( 0, 0 );OffsetW647:( 0, 0 );OffsetW700:( 0, 0 );OffsetW750:( 0, 0 );ResorufinUnsaturated:0;ResorufinUnsaturatedMutated:0;ResorufinUnsaturaterNumberInFit:64;SaturatedDecodingWells:3;SuspiciousWells:28198;SuspiciousWellsFlagged:1;SuspiciousWellsLowerThreshold:3;Warnings:;WhiteLightChannelMedian:9742;XtalkSubregionsOutOfSpec:0</t>
  </si>
  <si>
    <t>0002_DecodingIntensityStdDev_577F1:41.325;0002_DecodingIntensityStdDev_577F2:88.880;0002_MeanDecodingIntensity_577F1:434.18;0002_MeanDecodingIntensity_577F2:459.83;0002AEB:00.1612;0002DecodingIntensityStdDev:362.883;0002DecodingIntensityStdDev_488:362.883;0002DecodingIntensityStdDev_647:5.095;0002DecodingIntensityStdDev_700:5.545;0002DecodingIntensityStdDev_750:6.634;0002F_on:0.1488;0002FillPercent:014.60;0002KineticInconsistentLower:0;0002KineticInconsistentMetadata:-595.148400505615|2.5;0002MeanDecodingIntensity:1573.39;0002MeanDecodingIntensity_488:1573.39;0002MeanDecodingIntensity_647:34.79;0002MeanDecodingIntensity_700:30.39;0002MeanDecodingIntensity_750:35.46;0002ReflectiveIntensity:12884.04;0002ReflectiveIntensityStdDev:623.195;0002SealTimeEstimate:18.2;0021_DecodingIntensityStdDev_577F1:37.174;0021_DecodingIntensityStdDev_577F2:82.694;0021_MeanDecodingIntensity_577F1:427.37;0021_MeanDecodingIntensity_577F2:453.81;0021AEB:00.1555;0021DecodingIntensityStdDev:84.087;0021DecodingIntensityStdDev_488:22.372;0021DecodingIntensityStdDev_647:84.087;0021DecodingIntensityStdDev_700:10.233;0021DecodingIntensityStdDev_750:6.762;0021F_on:0.1440;0021FillPercent:009.01;0021KineticInconsistentLower:0;0021KineticInconsistentMetadata:-578.446553205041|2.48;0021MeanDecodingIntensity:428.18;0021MeanDecodingIntensity_488:139.60;0021MeanDecodingIntensity_647:428.18;0021MeanDecodingIntensity_700:69.47;0021MeanDecodingIntensity_750:35.36;0021ReflectiveIntensity:12657.12;0021ReflectiveIntensityStdDev:518.314;0021SealTimeEstimate:18.4;0201_DecodingIntensityStdDev_577F1:48.854;0201_DecodingIntensityStdDev_577F2:109.027;0201_MeanDecodingIntensity_577F1:428.71;0201_MeanDecodingIntensity_577F2:455.26;0201AEB:00.1900;0201DecodingIntensityStdDev:127.910;0201DecodingIntensityStdDev_488:41.090;0201DecodingIntensityStdDev_647:37.465;0201DecodingIntensityStdDev_700:127.910;0201DecodingIntensityStdDev_750:14.302;0201F_on:0.1731;0201FillPercent:010.44;0201KineticInconsistentLower:0;0201KineticInconsistentMetadata:-553.889415838663|2.42;0201MeanDecodingIntensity:509.56;0201MeanDecodingIntensity_488:144.95;0201MeanDecodingIntensity_647:102.92;0201MeanDecodingIntensity_700:509.56;0201MeanDecodingIntensity_750:65.89;0201ReflectiveIntensity:12746.48;0201ReflectiveIntensityStdDev:582.728;0201SealTimeEstimate:19.2;2001_DecodingIntensityStdDev_577F1:41.556;2001_DecodingIntensityStdDev_577F2:88.208;2001_MeanDecodingIntensity_577F1:458.37;2001_MeanDecodingIntensity_577F2:484.13;2001AEB:00.1408;2001DecodingIntensityStdDev:235.449;2001DecodingIntensityStdDev_488:58.808;2001DecodingIntensityStdDev_647:11.433;2001DecodingIntensityStdDev_700:7.074;2001DecodingIntensityStdDev_750:235.449;2001F_on:0.1313;2001FillPercent:009.96;2001KineticInconsistentLower:0;2001KineticInconsistentMetadata:-596.482435621539|2.43;2001MeanDecodingIntensity:976.35;2001MeanDecodingIntensity_488:146.13;2001MeanDecodingIntensity_647:38.75;2001MeanDecodingIntensity_700:34.63;2001MeanDecodingIntensity_750:976.35;2001ReflectiveIntensity:12728.92;2001ReflectiveIntensityStdDev:580.117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11.77;Empties488F1MeanIntensity:69.68;Empties577F1IntensityStdDev:18.00;Empties577F1MeanIntensity:389.07;Empties577F2IntensityStdDev:31.40;Empties577F2MeanIntensity:386.89;Empties647F1IntensityStdDev:4.40;Empties647F1MeanIntensity:31.45;Empties700F1IntensityStdDev:4.36;Empties700F1MeanIntensity:29.37;Empties750F1IntensityStdDev:5.35;Empties750F1MeanIntensity:33.83;EmptiesIGrowth:290.75;EmptiesReflectiveIntensityStdDev:327.68;EmptiesReflectiveMeanIntensity:11473.42;Errors:;F2minusF1Shift:-0.4;FluorescenceClassification:Normal;Focus_FracImageLost:0.00;FocusScoresAvg:3.25;FocusScoresImageCenter:4.11;FocusScoresMax:5.25;FocusScoresMedian:3.28;FractionImageDebris:0.2145;FractionWellsDebris:0.1965;ImageQualityScoreIfUnpegged:1.00;IndexingWellsMissingFromFov:2308;IndexingWellsTotalLostBothVisibleAndMissing:3728;IndexingWellsVisibleInFovButRemoved:1420;L1DR time (ms):27171;NetBeadFillRate:30.89;NormalizedFillPercentage:044.02;Notes:Indexing: stripe across bottom;NumberDecSaturated:0;NumberEmpties:57691;NumberFlagged_DeadPixels:72.0000;NumberFlagged_Debris:36661.0000;NumberFlagged_MissingNeighbor:9284.0000;NumberFlagged_NeighborSaturated:30.0000;NumberFlagged_OddlyRecurrentClassification:18928.0000;NumberFlagged_OutOfBounds:2971.0000;NumberFlagged_SaturatedPixelResorufinTwo:06.0000;NumberInvalidWells:39683;NumberPositiveEmpties:98;NumberPositives:18199;NumberResSaturated:6;NumberSaturatedWithoutDebris:0;NumberValidUnclassified:43792.00;NumberValidWells:146841;OddlyAggregatedFlag:2;OddlyAggregatedLocations:;OddlyAggregatedWorst:0;OffsetW488:( 0, 0 );OffsetW577:( 0, 0 );OffsetW647:( 0, 0 );OffsetW700:( 0, 0 );OffsetW750:( 0, 0 );ResorufinUnsaturated:0;ResorufinUnsaturatedMutated:0;ResorufinUnsaturaterNumberInFit:45;SaturatedDecodingWells:0;SuspiciousWells:26194;SuspiciousWellsFlagged:1;SuspiciousWellsLowerThreshold:4;Warnings:;WhiteLightChannelMedian:9681;XtalkSubregionsOutOfSpec:0</t>
  </si>
  <si>
    <t>0002_DecodingIntensityStdDev_577F1:48.505;0002_DecodingIntensityStdDev_577F2:94.258;0002_MeanDecodingIntensity_577F1:426.93;0002_MeanDecodingIntensity_577F2:451.46;0002AEB:00.1463;0002DecodingIntensityStdDev:350.478;0002DecodingIntensityStdDev_488:350.478;0002DecodingIntensityStdDev_647:4.719;0002DecodingIntensityStdDev_700:4.428;0002DecodingIntensityStdDev_750:5.620;0002F_on:0.1361;0002FillPercent:012.58;0002KineticInconsistentLower:0;0002KineticInconsistentMetadata:-471.575289159118|2.22;0002MeanDecodingIntensity:1608.18;0002MeanDecodingIntensity_488:1608.18;0002MeanDecodingIntensity_647:34.63;0002MeanDecodingIntensity_700:29.93;0002MeanDecodingIntensity_750:34.70;0002ReflectiveIntensity:13020.12;0002ReflectiveIntensityStdDev:664.039;0002SealTimeEstimate:22.5;0021_DecodingIntensityStdDev_577F1:37.061;0021_DecodingIntensityStdDev_577F2:70.431;0021_MeanDecodingIntensity_577F1:420.34;0021_MeanDecodingIntensity_577F2:444.09;0021AEB:00.1480;0021DecodingIntensityStdDev:83.928;0021DecodingIntensityStdDev_488:19.297;0021DecodingIntensityStdDev_647:83.928;0021DecodingIntensityStdDev_700:9.576;0021DecodingIntensityStdDev_750:5.707;0021F_on:0.1376;0021FillPercent:007.49;0021KineticInconsistentLower:0;0021KineticInconsistentMetadata:-454.686035885547|2.2;0021MeanDecodingIntensity:426.32;0021MeanDecodingIntensity_488:136.60;0021MeanDecodingIntensity_647:426.32;0021MeanDecodingIntensity_700:69.37;0021MeanDecodingIntensity_750:34.60;0021ReflectiveIntensity:12774.03;0021ReflectiveIntensityStdDev:571.845;0021SealTimeEstimate:22.9;0201_DecodingIntensityStdDev_577F1:39.742;0201_DecodingIntensityStdDev_577F2:74.545;0201_MeanDecodingIntensity_577F1:418.73;0201_MeanDecodingIntensity_577F2:442.02;0201AEB:00.1370;0201DecodingIntensityStdDev:105.696;0201DecodingIntensityStdDev_488:21.378;0201DecodingIntensityStdDev_647:15.236;0201DecodingIntensityStdDev_700:105.696;0201DecodingIntensityStdDev_750:9.531;0201F_on:0.1281;0201FillPercent:008.53;0201KineticInconsistentLower:0;0201KineticInconsistentMetadata:-431.137157204352|2.15;0201MeanDecodingIntensity:506.54;0201MeanDecodingIntensity_488:138.03;0201MeanDecodingIntensity_647:97.56;0201MeanDecodingIntensity_700:506.54;0201MeanDecodingIntensity_750:64.29;0201ReflectiveIntensity:12797.20;0201ReflectiveIntensityStdDev:564.038;0201SealTimeEstimate:24.0;2001_DecodingIntensityStdDev_577F1:47.246;2001_DecodingIntensityStdDev_577F2:91.500;2001_MeanDecodingIntensity_577F1:451.92;2001_MeanDecodingIntensity_577F2:476.73;2001AEB:00.1517;2001DecodingIntensityStdDev:204.322;2001DecodingIntensityStdDev_488:21.272;2001DecodingIntensityStdDev_647:5.197;2001DecodingIntensityStdDev_700:5.038;2001DecodingIntensityStdDev_750:204.322;2001F_on:0.1407;2001FillPercent:008.12;2001KineticInconsistentLower:0;2001KineticInconsistentMetadata:-497.620283951047|2.22;2001MeanDecodingIntensity:980.12;2001MeanDecodingIntensity_488:138.29;2001MeanDecodingIntensity_647:37.80;2001MeanDecodingIntensity_700:34.11;2001MeanDecodingIntensity_750:980.12;2001ReflectiveIntensity:12802.10;2001ReflectiveIntensityStdDev:595.051;2001SealTimeEstimate:22.5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10.85;Empties488F1MeanIntensity:67.27;Empties577F1IntensityStdDev:29.88;Empties577F1MeanIntensity:372.09;Empties577F2IntensityStdDev:36.08;Empties577F2MeanIntensity:371.04;Empties647F1IntensityStdDev:4.19;Empties647F1MeanIntensity:31.56;Empties700F1IntensityStdDev:4.07;Empties700F1MeanIntensity:29.27;Empties750F1IntensityStdDev:4.86;Empties750F1MeanIntensity:33.50;EmptiesIGrowth:225.39;EmptiesReflectiveIntensityStdDev:363.50;EmptiesReflectiveMeanIntensity:11555.41;Errors:;F2minusF1Shift:-0.8;FluorescenceClassification:Normal;Focus_FracImageLost:0.00;FocusScoresAvg:3.17;FocusScoresImageCenter:4.01;FocusScoresMax:4.76;FocusScoresMedian:3.14;FractionImageDebris:0.1185;FractionWellsDebris:0.0960;ImageQualityScoreIfUnpegged:1.00;IndexingWellsMissingFromFov:6158;IndexingWellsTotalLostBothVisibleAndMissing:7456;IndexingWellsVisibleInFovButRemoved:1298;L1DR time (ms):28190;NetBeadFillRate:25.79;NormalizedFillPercentage:036.71;Notes:Indexing: stripe across bottom;NumberDecSaturated:1;NumberEmpties:72458;NumberFlagged_DeadPixels:84.0000;NumberFlagged_Debris:17774.0000;NumberFlagged_MissingNeighbor:3461.0000;NumberFlagged_NeighborSaturated:06.0000;NumberFlagged_OddlyRecurrentClassification:785.0000;NumberFlagged_OutOfBounds:3073.0000;NumberFlagged_SaturatedPixelDecodingFour:01.0000;NumberInvalidWells:22148;NumberPositiveEmpties:98;NumberPositives:13679;NumberResSaturated:0;NumberSaturatedWithoutDebris:1;NumberValidUnclassified:48464.00;NumberValidWells:162956;OddlyAggregatedFlag:2;OddlyAggregatedLocations:;OddlyAggregatedWorst:0;OffsetW488:( 0, 0 );OffsetW577:( 0, 0 );OffsetW647:( 0, 1 );OffsetW700:( 0, 0 );OffsetW750:( 0, 0 );ResorufinUnsaturated:0;ResorufinUnsaturatedMutated:0;ResorufinUnsaturaterNumberInFit:34;SaturatedDecodingWells:1;SuspiciousWells:26616;SuspiciousWellsFlagged:1;SuspiciousWellsLowerThreshold:3;Warnings:;WhiteLightChannelMedian:9645;XtalkSubregionsOutOfSpec:0</t>
  </si>
  <si>
    <t>high-1-8-5</t>
  </si>
  <si>
    <t>Plate 1 - Well B9</t>
  </si>
  <si>
    <t>0002_DecodingIntensityStdDev_577F1:42.040;0002_DecodingIntensityStdDev_577F2:83.770;0002_MeanDecodingIntensity_577F1:412.68;0002_MeanDecodingIntensity_577F2:421.16;0002AEB:00.0327;0002DecodingIntensityStdDev:326.595;0002DecodingIntensityStdDev_488:326.595;0002DecodingIntensityStdDev_647:4.454;0002DecodingIntensityStdDev_700:4.191;0002DecodingIntensityStdDev_750:5.106;0002F_on:0.0322;0002FillPercent:009.50;0002KineticInconsistentLower:0;0002KineticInconsistentMetadata:-533.216010497516|2.36;0002MeanDecodingIntensity:1558.26;0002MeanDecodingIntensity_488:1558.26;0002MeanDecodingIntensity_647:34.66;0002MeanDecodingIntensity_700:29.72;0002MeanDecodingIntensity_750:33.99;0002ReflectiveIntensity:12966.49;0002ReflectiveIntensityStdDev:572.186;0002SealTimeEstimate:20.1;0021_DecodingIntensityStdDev_577F1:26.975;0021_DecodingIntensityStdDev_577F2:48.547;0021_MeanDecodingIntensity_577F1:403.99;0021_MeanDecodingIntensity_577F2:408.61;0021AEB:00.0143;0021DecodingIntensityStdDev:83.226;0021DecodingIntensityStdDev_488:17.731;0021DecodingIntensityStdDev_647:83.226;0021DecodingIntensityStdDev_700:9.350;0021DecodingIntensityStdDev_750:5.093;0021F_on:0.0142;0021FillPercent:005.67;0021KineticInconsistentLower:0;0021KineticInconsistentMetadata:-578.223676423364|2.45;0021MeanDecodingIntensity:439.05;0021MeanDecodingIntensity_488:133.68;0021MeanDecodingIntensity_647:439.05;0021MeanDecodingIntensity_700:69.84;0021MeanDecodingIntensity_750:33.96;0021ReflectiveIntensity:12734.17;0021ReflectiveIntensityStdDev:493.097;0021SealTimeEstimate:18.8;0201_DecodingIntensityStdDev_577F1:31.823;0201_DecodingIntensityStdDev_577F2:62.792;0201_MeanDecodingIntensity_577F1:403.99;0201_MeanDecodingIntensity_577F2:409.79;0201AEB:00.0171;0201DecodingIntensityStdDev:95.643;0201DecodingIntensityStdDev_488:18.243;0201DecodingIntensityStdDev_647:13.572;0201DecodingIntensityStdDev_700:95.643;0201DecodingIntensityStdDev_750:8.502;0201F_on:0.0170;0201FillPercent:006.14;0201KineticInconsistentLower:0;0201KineticInconsistentMetadata:-561.616770175921|2.43;0201MeanDecodingIntensity:513.15;0201MeanDecodingIntensity_488:134.31;0201MeanDecodingIntensity_647:99.28;0201MeanDecodingIntensity_700:513.15;0201MeanDecodingIntensity_750:64.38;0201ReflectiveIntensity:12751.50;0201ReflectiveIntensityStdDev:479.095;0201SealTimeEstimate:19.1;2001_DecodingIntensityStdDev_577F1:34.965;2001_DecodingIntensityStdDev_577F2:65.852;2001_MeanDecodingIntensity_577F1:436.63;2001_MeanDecodingIntensity_577F2:442.69;2001AEB:00.0197;2001DecodingIntensityStdDev:204.407;2001DecodingIntensityStdDev_488:18.277;2001DecodingIntensityStdDev_647:4.651;2001DecodingIntensityStdDev_700:4.488;2001DecodingIntensityStdDev_750:204.407;2001F_on:0.0195;2001FillPercent:006.05;2001KineticInconsistentLower:0;2001KineticInconsistentMetadata:-520.178102605999|2.27;2001MeanDecodingIntensity:1025.08;2001MeanDecodingIntensity_488:134.69;2001MeanDecodingIntensity_647:37.76;2001MeanDecodingIntensity_700:33.90;2001MeanDecodingIntensity_750:1025.08;2001ReflectiveIntensity:12742.46;2001ReflectiveIntensityStdDev:494.241;2001SealTimeEstimate:21.6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9.33;Empties488F1MeanIntensity:64.56;Empties577F1IntensityStdDev:19.62;Empties577F1MeanIntensity:374.73;Empties577F2IntensityStdDev:20.17;Empties577F2MeanIntensity:372.74;Empties647F1IntensityStdDev:3.95;Empties647F1MeanIntensity:31.52;Empties700F1IntensityStdDev:3.77;Empties700F1MeanIntensity:29.06;Empties750F1IntensityStdDev:4.44;Empties750F1MeanIntensity:33.09;EmptiesIGrowth:105.01;EmptiesReflectiveIntensityStdDev:333.46;EmptiesReflectiveMeanIntensity:11598.19;Errors:;F2minusF1Shift:1.1;FluorescenceClassification:Normal;Focus_FracImageLost:0.01;FocusScoresAvg:2.93;FocusScoresImageCenter:4.20;FocusScoresMax:4.65;FocusScoresMedian:2.98;FractionImageDebris:0.1121;FractionWellsDebris:0.0858;ImageQualityScoreIfUnpegged:1.00;IndexingWellsMissingFromFov:6261;IndexingWellsTotalLostBothVisibleAndMissing:7456;IndexingWellsVisibleInFovButRemoved:1195;L1DR time (ms):29278;NetBeadFillRate:19.26;NormalizedFillPercentage:027.36;Notes:Indexing: stripe across bottom | Xtalk: usable out of spec wv 700 sr 4 dir 5 value 0.036. | Xtalk: usable out of spec wv 488 sr 4 dir 5 value 0.036.;NumberDecSaturated:0;NumberEmpties:85045;NumberFlagged_DeadPixels:78.0000;NumberFlagged_Debris:15909.0000;NumberFlagged_MissingNeighbor:2197.0000;NumberFlagged_OutOfBounds:3030.0000;NumberFlagged_OutOfFocus:1022.0000;NumberInvalidWells:19038;NumberPositiveEmpties:7;NumberPositives:1380;NumberResSaturated:0;NumberSaturatedWithoutDebris:0;NumberValidUnclassified:49225.00;NumberValidWells:166295;OddlyAggregatedFlag:2;OddlyAggregatedLocations:;OddlyAggregatedWorst:0;OffsetW488:( 0, 0 );OffsetW577:( 0, 0 );OffsetW647:( 0, 0 );OffsetW700:( 0, 0 );OffsetW750:( 0, 0 );ResorufinUnsaturated:0;ResorufinUnsaturatedMutated:0;ResorufinUnsaturaterNumberInFit:11;SaturatedDecodingWells:1;SuspiciousWells:21266;SuspiciousWellsFlagged:1;SuspiciousWellsLowerThreshold:2;Warnings:;WhiteLightChannelMedian:9639;XtalkSubregionsOutOfSpec:0</t>
  </si>
  <si>
    <t>0002_DecodingIntensityStdDev_577F1:38.697;0002_DecodingIntensityStdDev_577F2:75.519;0002_MeanDecodingIntensity_577F1:408.21;0002_MeanDecodingIntensity_577F2:415.62;0002AEB:00.0329;0002DecodingIntensityStdDev:338.948;0002DecodingIntensityStdDev_488:338.948;0002DecodingIntensityStdDev_647:4.762;0002DecodingIntensityStdDev_700:4.618;0002DecodingIntensityStdDev_750:5.903;0002F_on:0.0323;0002FillPercent:012.11;0002KineticInconsistentLower:0;0002KineticInconsistentMetadata:-503.365522736697|2.3;0002MeanDecodingIntensity:1587.78;0002MeanDecodingIntensity_488:1587.78;0002MeanDecodingIntensity_647:34.88;0002MeanDecodingIntensity_700:30.24;0002MeanDecodingIntensity_750:34.89;0002ReflectiveIntensity:13133.15;0002ReflectiveIntensityStdDev:604.669;0002SealTimeEstimate:21.1;0021_DecodingIntensityStdDev_577F1:27.650;0021_DecodingIntensityStdDev_577F2:51.609;0021_MeanDecodingIntensity_577F1:399.66;0021_MeanDecodingIntensity_577F2:403.94;0021AEB:00.0162;0021DecodingIntensityStdDev:82.171;0021DecodingIntensityStdDev_488:20.024;0021DecodingIntensityStdDev_647:82.171;0021DecodingIntensityStdDev_700:9.860;0021DecodingIntensityStdDev_750:5.930;0021F_on:0.0161;0021FillPercent:007.32;0021KineticInconsistentLower:0;0021KineticInconsistentMetadata:-528.78256274582|2.38;0021MeanDecodingIntensity:434.01;0021MeanDecodingIntensity_488:137.89;0021MeanDecodingIntensity_647:434.01;0021MeanDecodingIntensity_700:70.61;0021MeanDecodingIntensity_750:34.90;0021ReflectiveIntensity:12899.75;0021ReflectiveIntensityStdDev:508.908;0021SealTimeEstimate:19.8;0201_DecodingIntensityStdDev_577F1:29.882;0201_DecodingIntensityStdDev_577F2:55.274;0201_MeanDecodingIntensity_577F1:398.56;0201_MeanDecodingIntensity_577F2:403.27;0201AEB:00.0164;0201DecodingIntensityStdDev:102.225;0201DecodingIntensityStdDev_488:21.244;0201DecodingIntensityStdDev_647:14.186;0201DecodingIntensityStdDev_700:102.225;0201DecodingIntensityStdDev_750:9.696;0201F_on:0.0163;0201FillPercent:008.35;0201KineticInconsistentLower:0;0201KineticInconsistentMetadata:-489.01006854996|2.29;0201MeanDecodingIntensity:518.15;0201MeanDecodingIntensity_488:139.15;0201MeanDecodingIntensity_647:98.71;0201MeanDecodingIntensity_700:518.15;0201MeanDecodingIntensity_750:65.72;0201ReflectiveIntensity:12902.87;0201ReflectiveIntensityStdDev:510.776;0201SealTimeEstimate:21.3;2001_DecodingIntensityStdDev_577F1:36.072;2001_DecodingIntensityStdDev_577F2:69.770;2001_MeanDecodingIntensity_577F1:432.50;2001_MeanDecodingIntensity_577F2:437.98;2001AEB:00.0209;2001DecodingIntensityStdDev:219.623;2001DecodingIntensityStdDev_488:21.205;2001DecodingIntensityStdDev_647:5.059;2001DecodingIntensityStdDev_700:5.066;2001DecodingIntensityStdDev_750:219.623;2001F_on:0.0206;2001FillPercent:007.86;2001KineticInconsistentLower:0;2001KineticInconsistentMetadata:-588.827785148219|2.41;2001MeanDecodingIntensity:1039.34;2001MeanDecodingIntensity_488:139.02;2001MeanDecodingIntensity_647:37.99;2001MeanDecodingIntensity_700:34.43;2001MeanDecodingIntensity_750:1039.34;2001ReflectiveIntensity:12921.20;2001ReflectiveIntensityStdDev:530.934;2001SealTimeEstimate:19.4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10.50;Empties488F1MeanIntensity:65.06;Empties577F1IntensityStdDev:20.93;Empties577F1MeanIntensity:364.96;Empties577F2IntensityStdDev:21.76;Empties577F2MeanIntensity:362.59;Empties647F1IntensityStdDev:4.14;Empties647F1MeanIntensity:31.60;Empties700F1IntensityStdDev:4.02;Empties700F1MeanIntensity:29.33;Empties750F1IntensityStdDev:4.85;Empties750F1MeanIntensity:33.54;EmptiesIGrowth:304.03;EmptiesReflectiveIntensityStdDev:351.65;EmptiesReflectiveMeanIntensity:11755.23;Errors:;F2minusF1Shift:1.2;FluorescenceClassification:Normal;Focus_FracImageLost:0.02;FocusScoresAvg:3.15;FocusScoresImageCenter:4.56;FocusScoresMax:5.03;FocusScoresMedian:3.18;FractionImageDebris:0.1134;FractionWellsDebris:0.1095;ImageQualityScoreIfUnpegged:1.00;IndexingWellsMissingFromFov:3097;IndexingWellsTotalLostBothVisibleAndMissing:3728;IndexingWellsVisibleInFovButRemoved:631;L1DR time (ms):27361;NetBeadFillRate:25.05;NormalizedFillPercentage:035.64;Notes:Indexing: stripe across bottom | Xtalk: usable out of spec wv 488 sr 4 dir 5 value 0.041.;NumberDecSaturated:0;NumberEmpties:73774;NumberFlagged_DeadPixels:81.0000;NumberFlagged_Debris:20688.0000;NumberFlagged_MissingNeighbor:2837.0000;NumberFlagged_OutOfBounds:3106.0000;NumberFlagged_OutOfFocus:2950.0000;NumberInvalidWells:25744;NumberPositiveEmpties:7;NumberPositives:1897;NumberResSaturated:0;NumberSaturatedWithoutDebris:0;NumberValidUnclassified:48472.00;NumberValidWells:163102;OddlyAggregatedFlag:2;OddlyAggregatedLocations:;OddlyAggregatedWorst:0;OffsetW488:( 0, 0 );OffsetW577:( 0, 0 );OffsetW647:( 0, 0 );OffsetW700:( 0, 0 );OffsetW750:( 0, 0 );ResorufinUnsaturated:0;ResorufinUnsaturatedMutated:0;ResorufinUnsaturaterNumberInFit:5;SaturatedDecodingWells:0;SuspiciousWells:21343;SuspiciousWellsFlagged:1;SuspiciousWellsLowerThreshold:4;Warnings:;WhiteLightChannelMedian:9836;XtalkSubregionsOutOfSpec:0</t>
  </si>
  <si>
    <t>0002_DecodingIntensityStdDev_577F1:35.409;0002_DecodingIntensityStdDev_577F2:74.329;0002_MeanDecodingIntensity_577F1:426.90;0002_MeanDecodingIntensity_577F2:435.35;0002AEB:00.0335;0002DecodingIntensityStdDev:374.640;0002DecodingIntensityStdDev_488:374.640;0002DecodingIntensityStdDev_647:5.181;0002DecodingIntensityStdDev_700:5.295;0002DecodingIntensityStdDev_750:6.813;0002F_on:0.0330;0002FillPercent:016.10;0002KineticInconsistentLower:0;0002KineticInconsistentMetadata:-685.404605215408|2.72;0002MeanDecodingIntensity:1587.70;0002MeanDecodingIntensity_488:1587.70;0002MeanDecodingIntensity_647:34.92;0002MeanDecodingIntensity_700:30.60;0002MeanDecodingIntensity_750:35.88;0002ReflectiveIntensity:13126.04;0002ReflectiveIntensityStdDev:607.278;0002SealTimeEstimate:15.8;0021_DecodingIntensityStdDev_577F1:34.818;0021_DecodingIntensityStdDev_577F2:73.814;0021_MeanDecodingIntensity_577F1:419.49;0021_MeanDecodingIntensity_577F2:424.66;0021AEB:00.0160;0021DecodingIntensityStdDev:92.162;0021DecodingIntensityStdDev_488:25.723;0021DecodingIntensityStdDev_647:92.162;0021DecodingIntensityStdDev_700:10.968;0021DecodingIntensityStdDev_750:7.465;0021F_on:0.0158;0021FillPercent:010.49;0021KineticInconsistentLower:0;0021KineticInconsistentMetadata:-718.626542741905|2.79;0021MeanDecodingIntensity:430.35;0021MeanDecodingIntensity_488:141.77;0021MeanDecodingIntensity_647:430.35;0021MeanDecodingIntensity_700:69.69;0021MeanDecodingIntensity_750:36.12;0021ReflectiveIntensity:12890.46;0021ReflectiveIntensityStdDev:537.140;0021SealTimeEstimate:15.1;0201_DecodingIntensityStdDev_577F1:33.808;0201_DecodingIntensityStdDev_577F2:65.527;0201_MeanDecodingIntensity_577F1:421.67;0201_MeanDecodingIntensity_577F2:427.58;0201AEB:00.0200;0201DecodingIntensityStdDev:141.946;0201DecodingIntensityStdDev_488:45.895;0201DecodingIntensityStdDev_647:49.519;0201DecodingIntensityStdDev_700:141.946;0201DecodingIntensityStdDev_750:17.111;0201F_on:0.0198;0201FillPercent:012.20;0201KineticInconsistentLower:0;0201KineticInconsistentMetadata:-600.811860479063|2.56;0201MeanDecodingIntensity:517.32;0201MeanDecodingIntensity_488:147.96;0201MeanDecodingIntensity_647:109.20;0201MeanDecodingIntensity_700:517.32;0201MeanDecodingIntensity_750:67.14;0201ReflectiveIntensity:12985.57;0201ReflectiveIntensityStdDev:604.537;0201SealTimeEstimate:17.5;2001_DecodingIntensityStdDev_577F1:34.001;2001_DecodingIntensityStdDev_577F2:62.822;2001_MeanDecodingIntensity_577F1:449.96;2001_MeanDecodingIntensity_577F2:455.70;2001AEB:00.0189;2001DecodingIntensityStdDev:240.477;2001DecodingIntensityStdDev_488:61.700;2001DecodingIntensityStdDev_647:11.459;2001DecodingIntensityStdDev_700:7.551;2001DecodingIntensityStdDev_750:240.477;2001F_on:0.0187;2001FillPercent:011.20;2001KineticInconsistentLower:0;2001KineticInconsistentMetadata:-722.691492600121|2.69;2001MeanDecodingIntensity:952.63;2001MeanDecodingIntensity_488:148.70;2001MeanDecodingIntensity_647:38.78;2001MeanDecodingIntensity_700:35.12;2001MeanDecodingIntensity_750:952.63;2001ReflectiveIntensity:12943.09;2001ReflectiveIntensityStdDev:584.675;2001SealTimeEstimate:16.1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13.16;Empties488F1MeanIntensity:71.05;Empties577F1IntensityStdDev:17.80;Empties577F1MeanIntensity:392.13;Empties577F2IntensityStdDev:25.45;Empties577F2MeanIntensity:388.85;Empties647F1IntensityStdDev:4.61;Empties647F1MeanIntensity:31.62;Empties700F1IntensityStdDev:4.66;Empties700F1MeanIntensity:29.61;Empties750F1IntensityStdDev:5.63;Empties750F1MeanIntensity:34.03;EmptiesIGrowth:447.60;EmptiesReflectiveIntensityStdDev:352.78;EmptiesReflectiveMeanIntensity:11786.16;Errors:;F2minusF1Shift:0.5;FluorescenceClassification:Normal;Focus_FracImageLost:0.02;FocusScoresAvg:3.34;FocusScoresImageCenter:4.99;FocusScoresMax:5.50;FocusScoresMedian:3.58;FractionImageDebris:0.3052;FractionWellsDebris:0.3035;ImageQualityScoreIfUnpegged:0.60;IndexingWellsMissingFromFov:0;IndexingWellsTotalLostBothVisibleAndMissing:0;IndexingWellsVisibleInFovButRemoved:0;L1DR time (ms):29313;NetBeadFillRate:35.05;NormalizedFillPercentage:049.99;Notes:Xtalk: usable out of spec wv 577 sr 9 dir 5 value 0.038. | Xtalk: usable out of spec wv 700 sr 8 dir 5 value 0.038. | Xtalk: usable out of spec wv 488 sr 4 dir 5 value 0.038. | Xtalk: usable out of spec wv 488 sr 8 dir 5 value 0.036.;NumberDecSaturated:1;NumberEmpties:43913;NumberFlagged_DeadPixels:77.0000;NumberFlagged_Debris:57531.0000;NumberFlagged_MissingNeighbor:10670.0000;NumberFlagged_NeighborSaturated:06.0000;NumberFlagged_OddlyRecurrentClassification:24862.0000;NumberFlagged_OutOfBounds:3980.0000;NumberFlagged_OutOfFocus:2907.0000;NumberFlagged_OutOfSpecXtalk:14342.0000;NumberFlagged_SaturatedPixelDecodingFour:01.0000;NumberInvalidWells:64348;NumberPositiveEmpties:21;NumberPositives:4232;NumberResSaturated:0;NumberSaturatedWithoutDebris:0;NumberValidUnclassified:37426.00;NumberValidWells:125241;OddlyAggregatedFlag:2;OddlyAggregatedLocations:;OddlyAggregatedWorst:0;OffsetW488:( 0, 0 );OffsetW577:( 0, 0 );OffsetW647:( 0, 0 );OffsetW700:( 0, 0 );OffsetW750:( 0, -1 );ResorufinUnsaturated:0;ResorufinUnsaturatedMutated:0;ResorufinUnsaturaterNumberInFit:15;SaturatedDecodingWells:0;SuspiciousWells:22545;SuspiciousWellsFlagged:1;SuspiciousWellsLowerThreshold:5;Warnings:Xtalk: unusable out of spec wv 577 sr 8 dir 5 value 0.050.;WhiteLightChannelMedian:9927;XtalkSubregionsOutOfSpec:1</t>
  </si>
  <si>
    <t>high-1-8-4</t>
  </si>
  <si>
    <t>Plate 1 - Well C9</t>
  </si>
  <si>
    <t>0002_DecodingIntensityStdDev_577F1:51.165;0002_DecodingIntensityStdDev_577F2:98.497;0002_MeanDecodingIntensity_577F1:409.50;0002_MeanDecodingIntensity_577F2:426.12;0002AEB:00.0676;0002DecodingIntensityStdDev:338.881;0002DecodingIntensityStdDev_488:338.881;0002DecodingIntensityStdDev_647:4.661;0002DecodingIntensityStdDev_700:4.422;0002DecodingIntensityStdDev_750:5.604;0002F_on:0.0653;0002FillPercent:012.80;0002KineticInconsistentLower:0;0002KineticInconsistentMetadata:-522.880564502453|2.37;0002MeanDecodingIntensity:1600.31;0002MeanDecodingIntensity_488:1600.31;0002MeanDecodingIntensity_647:34.68;0002MeanDecodingIntensity_700:29.86;0002MeanDecodingIntensity_750:34.47;0002ReflectiveIntensity:13101.96;0002ReflectiveIntensityStdDev:592.178;0002SealTimeEstimate:20.0;0021_DecodingIntensityStdDev_577F1:38.242;0021_DecodingIntensityStdDev_577F2:75.346;0021_MeanDecodingIntensity_577F1:402.84;0021_MeanDecodingIntensity_577F2:419.43;0021AEB:00.0749;0021DecodingIntensityStdDev:86.977;0021DecodingIntensityStdDev_488:19.212;0021DecodingIntensityStdDev_647:86.977;0021DecodingIntensityStdDev_700:9.833;0021DecodingIntensityStdDev_750:5.576;0021F_on:0.0721;0021FillPercent:007.75;0021KineticInconsistentLower:0;0021KineticInconsistentMetadata:-524.674520938251|2.39;0021MeanDecodingIntensity:447.39;0021MeanDecodingIntensity_488:134.90;0021MeanDecodingIntensity_647:447.39;0021MeanDecodingIntensity_700:71.05;0021MeanDecodingIntensity_750:34.25;0021ReflectiveIntensity:12839.97;0021ReflectiveIntensityStdDev:481.577;0021SealTimeEstimate:19.7;0201_DecodingIntensityStdDev_577F1:40.066;0201_DecodingIntensityStdDev_577F2:77.364;0201_MeanDecodingIntensity_577F1:402.70;0201_MeanDecodingIntensity_577F2:419.56;0201AEB:00.0686;0201DecodingIntensityStdDev:104.959;0201DecodingIntensityStdDev_488:20.835;0201DecodingIntensityStdDev_647:14.772;0201DecodingIntensityStdDev_700:104.959;0201DecodingIntensityStdDev_750:9.339;0201F_on:0.0663;0201FillPercent:008.60;0201KineticInconsistentLower:0;0201KineticInconsistentMetadata:-534.56352322866|2.41;0201MeanDecodingIntensity:519.53;0201MeanDecodingIntensity_488:136.09;0201MeanDecodingIntensity_647:99.78;0201MeanDecodingIntensity_700:519.53;0201MeanDecodingIntensity_750:64.88;0201ReflectiveIntensity:12871.15;0201ReflectiveIntensityStdDev:496.235;0201SealTimeEstimate:19.4;2001_DecodingIntensityStdDev_577F1:44.889;2001_DecodingIntensityStdDev_577F2:83.636;2001_MeanDecodingIntensity_577F1:436.81;2001_MeanDecodingIntensity_577F2:453.62;2001AEB:00.0666;2001DecodingIntensityStdDev:225.710;2001DecodingIntensityStdDev_488:20.417;2001DecodingIntensityStdDev_647:5.025;2001DecodingIntensityStdDev_700:4.985;2001DecodingIntensityStdDev_750:225.710;2001F_on:0.0645;2001FillPercent:008.28;2001KineticInconsistentLower:0;2001KineticInconsistentMetadata:-521.228758494334|2.29;2001MeanDecodingIntensity:1054.87;2001MeanDecodingIntensity_488:136.29;2001MeanDecodingIntensity_647:38.10;2001MeanDecodingIntensity_700:34.16;2001MeanDecodingIntensity_750:1054.87;2001ReflectiveIntensity:12873.09;2001ReflectiveIntensityStdDev:522.140;2001SealTimeEstimate:21.3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10.21;Empties488F1MeanIntensity:61.58;Empties577F1IntensityStdDev:22.32;Empties577F1MeanIntensity:361.30;Empties577F2IntensityStdDev:22.84;Empties577F2MeanIntensity:359.81;Empties647F1IntensityStdDev:4.14;Empties647F1MeanIntensity:31.26;Empties700F1IntensityStdDev:4.05;Empties700F1MeanIntensity:29.04;Empties750F1IntensityStdDev:4.83;Empties750F1MeanIntensity:33.25;EmptiesIGrowth:96.60;EmptiesReflectiveIntensityStdDev:308.39;EmptiesReflectiveMeanIntensity:11664.32;Errors:;F2minusF1Shift:-1.5;FluorescenceClassification:Normal;Focus_FracImageLost:0.00;FocusScoresAvg:3.21;FocusScoresImageCenter:4.56;FocusScoresMax:4.93;FocusScoresMedian:3.30;FractionImageDebris:0.0920;FractionWellsDebris:0.0984;ImageQualityScoreIfUnpegged:1.00;IndexingWellsMissingFromFov:0;IndexingWellsTotalLostBothVisibleAndMissing:0;IndexingWellsVisibleInFovButRemoved:0;L1DR time (ms):31615;NetBeadFillRate:26.29;NormalizedFillPercentage:037.43;Notes:Xtalk: usable out of spec wv 577 sr 8 dir 5 value 0.038.;NumberDecSaturated:0;NumberEmpties:74359;NumberFlagged_DeadPixels:72.0000;NumberFlagged_Debris:18885.0000;NumberFlagged_MissingNeighbor:2803.0000;NumberFlagged_NeighborSaturated:06.0000;NumberFlagged_OutOfBounds:3553.0000;NumberFlagged_SaturatedPixelResorufinTwo:01.0000;NumberInvalidWells:22688;NumberPositiveEmpties:23;NumberPositives:6630;NumberResSaturated:1;NumberSaturatedWithoutDebris:1;NumberValidUnclassified:50305.00;NumberValidWells:169137;OddlyAggregatedFlag:2;OddlyAggregatedLocations:;OddlyAggregatedWorst:0;OffsetW488:( 1, 0 );OffsetW577:( 0, 0 );OffsetW647:( 0, 0 );OffsetW700:( 0, 0 );OffsetW750:( 0, 0 );ResorufinUnsaturated:0;ResorufinUnsaturatedMutated:0;ResorufinUnsaturaterNumberInFit:31;SaturatedDecodingWells:1;SuspiciousWells:20979;SuspiciousWellsFlagged:1;SuspiciousWellsLowerThreshold:4;Warnings:;WhiteLightChannelMedian:9777;XtalkSubregionsOutOfSpec:0</t>
  </si>
  <si>
    <t>0002_DecodingIntensityStdDev_577F1:43.494;0002_DecodingIntensityStdDev_577F2:85.706;0002_MeanDecodingIntensity_577F1:416.10;0002_MeanDecodingIntensity_577F2:434.05;0002AEB:00.0744;0002DecodingIntensityStdDev:342.076;0002DecodingIntensityStdDev_488:342.076;0002DecodingIntensityStdDev_647:4.565;0002DecodingIntensityStdDev_700:4.346;0002DecodingIntensityStdDev_750:5.346;0002F_on:0.0717;0002FillPercent:011.50;0002KineticInconsistentLower:0;0002KineticInconsistentMetadata:-570.838607811318|2.45;0002MeanDecodingIntensity:1663.19;0002MeanDecodingIntensity_488:1663.19;0002MeanDecodingIntensity_647:34.84;0002MeanDecodingIntensity_700:29.96;0002MeanDecodingIntensity_750:34.40;0002ReflectiveIntensity:13524.00;0002ReflectiveIntensityStdDev:659.606;0002SealTimeEstimate:18.8;0021_DecodingIntensityStdDev_577F1:42.115;0021_DecodingIntensityStdDev_577F2:83.829;0021_MeanDecodingIntensity_577F1:410.84;0021_MeanDecodingIntensity_577F2:428.88;0021AEB:00.0811;0021DecodingIntensityStdDev:83.490;0021DecodingIntensityStdDev_488:18.828;0021DecodingIntensityStdDev_647:83.490;0021DecodingIntensityStdDev_700:9.295;0021DecodingIntensityStdDev_750:5.495;0021F_on:0.0779;0021FillPercent:006.84;0021KineticInconsistentLower:0;0021KineticInconsistentMetadata:-529.999969989784|2.37;0021MeanDecodingIntensity:449.88;0021MeanDecodingIntensity_488:138.16;0021MeanDecodingIntensity_647:449.88;0021MeanDecodingIntensity_700:71.12;0021MeanDecodingIntensity_750:34.42;0021ReflectiveIntensity:13276.62;0021ReflectiveIntensityStdDev:596.984;0021SealTimeEstimate:20.0;0201_DecodingIntensityStdDev_577F1:42.761;0201_DecodingIntensityStdDev_577F2:85.561;0201_MeanDecodingIntensity_577F1:408.92;0201_MeanDecodingIntensity_577F2:426.40;0201AEB:00.0745;0201DecodingIntensityStdDev:99.368;0201DecodingIntensityStdDev_488:21.344;0201DecodingIntensityStdDev_647:14.722;0201DecodingIntensityStdDev_700:99.368;0201DecodingIntensityStdDev_750:9.112;0201F_on:0.0718;0201FillPercent:007.52;0201KineticInconsistentLower:0;0201KineticInconsistentMetadata:-536.309996229818|2.39;0201MeanDecodingIntensity:527.18;0201MeanDecodingIntensity_488:139.21;0201MeanDecodingIntensity_647:100.61;0201MeanDecodingIntensity_700:527.18;0201MeanDecodingIntensity_750:65.08;0201ReflectiveIntensity:13291.29;0201ReflectiveIntensityStdDev:591.976;0201SealTimeEstimate:19.7;2001_DecodingIntensityStdDev_577F1:47.481;2001_DecodingIntensityStdDev_577F2:93.805;2001_MeanDecodingIntensity_577F1:441.04;2001_MeanDecodingIntensity_577F2:458.84;2001AEB:00.0749;2001DecodingIntensityStdDev:205.079;2001DecodingIntensityStdDev_488:20.284;2001DecodingIntensityStdDev_647:4.908;2001DecodingIntensityStdDev_700:4.806;2001DecodingIntensityStdDev_750:205.079;2001F_on:0.0721;2001FillPercent:007.25;2001KineticInconsistentLower:0;2001KineticInconsistentMetadata:-583.886487729887|2.4;2001MeanDecodingIntensity:1011.73;2001MeanDecodingIntensity_488:139.44;2001MeanDecodingIntensity_647:37.95;2001MeanDecodingIntensity_700:34.06;2001MeanDecodingIntensity_750:1011.73;2001ReflectiveIntensity:13309.47;2001ReflectiveIntensityStdDev:609.469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10.70;Empties488F1MeanIntensity:67.28;Empties577F1IntensityStdDev:31.09;Empties577F1MeanIntensity:361.24;Empties577F2IntensityStdDev:31.27;Empties577F2MeanIntensity:360.21;Empties647F1IntensityStdDev:4.11;Empties647F1MeanIntensity:31.65;Empties700F1IntensityStdDev:4.03;Empties700F1MeanIntensity:29.34;Empties750F1IntensityStdDev:4.82;Empties750F1MeanIntensity:33.48;EmptiesIGrowth:161.32;EmptiesReflectiveIntensityStdDev:409.94;EmptiesReflectiveMeanIntensity:12035.23;Errors:;F2minusF1Shift:-1.3;FluorescenceClassification:Normal;Focus_FracImageLost:0.00;FocusScoresAvg:3.60;FocusScoresImageCenter:4.78;FocusScoresMax:5.46;FocusScoresMedian:3.57;FractionImageDebris:0.0758;FractionWellsDebris:0.0586;ImageQualityScoreIfUnpegged:1.00;IndexingWellsMissingFromFov:4511;IndexingWellsTotalLostBothVisibleAndMissing:5592;IndexingWellsVisibleInFovButRemoved:1081;L1DR time (ms):30915;NetBeadFillRate:23.28;NormalizedFillPercentage:033.11;Notes:Indexing: stripe across bottom | Xtalk: usable out of spec wv 577 sr 8 dir 5 value 0.041.;NumberDecSaturated:0;NumberEmpties:80970;NumberFlagged_DeadPixels:69.0000;NumberFlagged_Debris:10958.0000;NumberFlagged_MissingNeighbor:2670.0000;NumberFlagged_OutOfBounds:3136.0000;NumberInvalidWells:14795;NumberPositiveEmpties:28;NumberPositives:6048;NumberResSaturated:0;NumberSaturatedWithoutDebris:0;NumberValidUnclassified:51078.00;NumberValidWells:172119;OddlyAggregatedFlag:2;OddlyAggregatedLocations:;OddlyAggregatedWorst:0;OffsetW488:( 1, 0 );OffsetW577:( 0, 0 );OffsetW647:( 0, 0 );OffsetW700:( 0, 0 );OffsetW750:( 0, 0 );ResorufinUnsaturated:0;ResorufinUnsaturatedMutated:0;ResorufinUnsaturaterNumberInFit:25;SaturatedDecodingWells:0;SuspiciousWells:24277;SuspiciousWellsFlagged:1;SuspiciousWellsLowerThreshold:4;Warnings:;WhiteLightChannelMedian:9851;XtalkSubregionsOutOfSpec:0</t>
  </si>
  <si>
    <t>0002_DecodingIntensityStdDev_577F1:47.093;0002_DecodingIntensityStdDev_577F2:95.721;0002_MeanDecodingIntensity_577F1:425.03;0002_MeanDecodingIntensity_577F2:442.17;0002AEB:00.0778;0002DecodingIntensityStdDev:338.486;0002DecodingIntensityStdDev_488:338.486;0002DecodingIntensityStdDev_647:4.593;0002DecodingIntensityStdDev_700:4.428;0002DecodingIntensityStdDev_750:5.518;0002F_on:0.0749;0002FillPercent:012.69;0002KineticInconsistentLower:0;0002KineticInconsistentMetadata:-556.310732898164|2.39;0002MeanDecodingIntensity:1618.55;0002MeanDecodingIntensity_488:1618.55;0002MeanDecodingIntensity_647:34.59;0002MeanDecodingIntensity_700:29.86;0002MeanDecodingIntensity_750:34.44;0002ReflectiveIntensity:13090.14;0002ReflectiveIntensityStdDev:622.824;0002SealTimeEstimate:19.7;0021_DecodingIntensityStdDev_577F1:42.838;0021_DecodingIntensityStdDev_577F2:87.681;0021_MeanDecodingIntensity_577F1:418.60;0021_MeanDecodingIntensity_577F2:435.30;0021AEB:00.0794;0021DecodingIntensityStdDev:85.626;0021DecodingIntensityStdDev_488:19.122;0021DecodingIntensityStdDev_647:85.626;0021DecodingIntensityStdDev_700:9.607;0021DecodingIntensityStdDev_750:5.626;0021F_on:0.0763;0021FillPercent:007.72;0021KineticInconsistentLower:0;0021KineticInconsistentMetadata:-550.374091798297|2.4;0021MeanDecodingIntensity:439.48;0021MeanDecodingIntensity_488:134.45;0021MeanDecodingIntensity_647:439.48;0021MeanDecodingIntensity_700:69.90;0021MeanDecodingIntensity_750:34.46;0021ReflectiveIntensity:12865.95;0021ReflectiveIntensityStdDev:528.492;0021SealTimeEstimate:19.5;0201_DecodingIntensityStdDev_577F1:39.833;0201_DecodingIntensityStdDev_577F2:81.127;0201_MeanDecodingIntensity_577F1:417.83;0201_MeanDecodingIntensity_577F2:434.63;0201AEB:00.0767;0201DecodingIntensityStdDev:107.640;0201DecodingIntensityStdDev_488:21.031;0201DecodingIntensityStdDev_647:15.686;0201DecodingIntensityStdDev_700:107.640;0201DecodingIntensityStdDev_750:9.625;0201F_on:0.0739;0201FillPercent:008.70;0201KineticInconsistentLower:0;0201KineticInconsistentMetadata:-554.373466502563|2.4;0201MeanDecodingIntensity:520.74;0201MeanDecodingIntensity_488:136.22;0201MeanDecodingIntensity_647:99.79;0201MeanDecodingIntensity_700:520.74;0201MeanDecodingIntensity_750:64.35;0201ReflectiveIntensity:12902.13;0201ReflectiveIntensityStdDev:540.227;0201SealTimeEstimate:19.5;2001_DecodingIntensityStdDev_577F1:44.267;2001_DecodingIntensityStdDev_577F2:86.706;2001_MeanDecodingIntensity_577F1:450.09;2001_MeanDecodingIntensity_577F2:466.52;2001AEB:00.0860;2001DecodingIntensityStdDev:218.074;2001DecodingIntensityStdDev_488:20.568;2001DecodingIntensityStdDev_647:4.881;2001DecodingIntensityStdDev_700:5.023;2001DecodingIntensityStdDev_750:218.074;2001F_on:0.0824;2001FillPercent:008.25;2001KineticInconsistentLower:0;2001KineticInconsistentMetadata:-552.861357730597|2.32;2001MeanDecodingIntensity:1007.60;2001MeanDecodingIntensity_488:136.72;2001MeanDecodingIntensity_647:37.78;2001MeanDecodingIntensity_700:33.96;2001MeanDecodingIntensity_750:1007.60;2001ReflectiveIntensity:12899.90;2001ReflectiveIntensityStdDev:567.967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10.00;Empties488F1MeanIntensity:64.25;Empties577F1IntensityStdDev:17.92;Empties577F1MeanIntensity:382.63;Empties577F2IntensityStdDev:23.72;Empties577F2MeanIntensity:379.80;Empties647F1IntensityStdDev:4.01;Empties647F1MeanIntensity:31.20;Empties700F1IntensityStdDev:3.95;Empties700F1MeanIntensity:29.08;Empties750F1IntensityStdDev:4.72;Empties750F1MeanIntensity:33.23;EmptiesIGrowth:213.91;EmptiesReflectiveIntensityStdDev:355.39;EmptiesReflectiveMeanIntensity:11646.43;Errors:;F2minusF1Shift:-0.3;FluorescenceClassification:Normal;Focus_FracImageLost:0.00;FocusScoresAvg:3.37;FocusScoresImageCenter:4.34;FocusScoresMax:4.95;FocusScoresMedian:3.38;FractionImageDebris:0.1056;FractionWellsDebris:0.0908;ImageQualityScoreIfUnpegged:1.00;IndexingWellsMissingFromFov:5024;IndexingWellsTotalLostBothVisibleAndMissing:5592;IndexingWellsVisibleInFovButRemoved:568;L1DR time (ms):26277;NetBeadFillRate:26.26;NormalizedFillPercentage:037.37;Notes:Indexing: stripe across bottom;NumberDecSaturated:0;NumberEmpties:73265;NumberFlagged_DeadPixels:69.0000;NumberFlagged_Debris:16977.0000;NumberFlagged_MissingNeighbor:2547.0000;NumberFlagged_OddlyRecurrentClassification:598.0000;NumberFlagged_OutOfBounds:3178.0000;NumberInvalidWells:20543;NumberPositiveEmpties:66;NumberPositives:7301;NumberResSaturated:0;NumberSaturatedWithoutDebris:0;NumberValidUnclassified:49472.00;NumberValidWells:166451;OddlyAggregatedFlag:2;OddlyAggregatedLocations:;OddlyAggregatedWorst:0;OffsetW488:( 0, 0 );OffsetW577:( 0, 0 );OffsetW647:( 0, 0 );OffsetW700:( 0, 0 );OffsetW750:( 0, -1 );ResorufinUnsaturated:0;ResorufinUnsaturatedMutated:0;ResorufinUnsaturaterNumberInFit:43;SaturatedDecodingWells:0;SuspiciousWells:21608;SuspiciousWellsFlagged:1;SuspiciousWellsLowerThreshold:4;Warnings:;WhiteLightChannelMedian:9659;XtalkSubregionsOutOfSpec:0</t>
  </si>
  <si>
    <t>high-1-8-3</t>
  </si>
  <si>
    <t>Plate 1 - Well D9</t>
  </si>
  <si>
    <t>0002_DecodingIntensityStdDev_577F1:80.982;0002_DecodingIntensityStdDev_577F2:160.542;0002_MeanDecodingIntensity_577F1:507.85;0002_MeanDecodingIntensity_577F2:631.07;0002AEB:-;0002DecodingIntensityStdDev:363.804;0002DecodingIntensityStdDev_488:363.804;0002DecodingIntensityStdDev_647:4.928;0002DecodingIntensityStdDev_700:4.733;0002DecodingIntensityStdDev_750:5.934;0002F_on:0.9121;0002FillPercent:013.49;0002KineticInconsistentLower:0;0002KineticInconsistentMetadata:-427.94404907033|2.13;0002MeanDecodingIntensity:1687.11;0002MeanDecodingIntensity_488:1687.11;0002MeanDecodingIntensity_647:35.21;0002MeanDecodingIntensity_700:30.33;0002MeanDecodingIntensity_750:34.97;0002ReflectiveIntensity:13648.11;0002ReflectiveIntensityStdDev:663.997;0002SealTimeEstimate:24.4;0021_DecodingIntensityStdDev_577F1:84.981;0021_DecodingIntensityStdDev_577F2:174.831;0021_MeanDecodingIntensity_577F1:519.69;0021_MeanDecodingIntensity_577F2:667.14;0021AEB:-;0021DecodingIntensityStdDev:88.768;0021DecodingIntensityStdDev_488:22.050;0021DecodingIntensityStdDev_647:88.768;0021DecodingIntensityStdDev_700:10.130;0021DecodingIntensityStdDev_750:6.138;0021F_on:0.9617;0021FillPercent:008.08;0021KineticInconsistentLower:0;0021KineticInconsistentMetadata:-458.464387837441|2.21;0021MeanDecodingIntensity:448.87;0021MeanDecodingIntensity_488:142.57;0021MeanDecodingIntensity_647:448.87;0021MeanDecodingIntensity_700:70.86;0021MeanDecodingIntensity_750:35.03;0021ReflectiveIntensity:13397.88;0021ReflectiveIntensityStdDev:580.353;0021SealTimeEstimate:22.7;0201_DecodingIntensityStdDev_577F1:83.749;0201_DecodingIntensityStdDev_577F2:171.106;0201_MeanDecodingIntensity_577F1:514.86;0201_MeanDecodingIntensity_577F2:656.94;0201AEB:-;0201DecodingIntensityStdDev:111.811;0201DecodingIntensityStdDev_488:25.327;0201DecodingIntensityStdDev_647:20.249;0201DecodingIntensityStdDev_700:111.811;0201DecodingIntensityStdDev_750:10.722;0201F_on:0.9533;0201FillPercent:009.21;0201KineticInconsistentLower:0;0201KineticInconsistentMetadata:-447.772460979861|2.19;0201MeanDecodingIntensity:524.59;0201MeanDecodingIntensity_488:144.63;0201MeanDecodingIntensity_647:103.23;0201MeanDecodingIntensity_700:524.59;0201MeanDecodingIntensity_750:66.46;0201ReflectiveIntensity:13421.79;0201ReflectiveIntensityStdDev:612.611;0201SealTimeEstimate:23.1;2001_DecodingIntensityStdDev_577F1:84.009;2001_DecodingIntensityStdDev_577F2:169.744;2001_MeanDecodingIntensity_577F1:546.31;2001_MeanDecodingIntensity_577F2:687.94;2001AEB:-;2001DecodingIntensityStdDev:218.936;2001DecodingIntensityStdDev_488:24.460;2001DecodingIntensityStdDev_647:5.488;2001DecodingIntensityStdDev_700:5.655;2001DecodingIntensityStdDev_750:218.936;2001F_on:0.9524;2001FillPercent:008.92;2001KineticInconsistentLower:0;2001KineticInconsistentMetadata:-478.896863588501|2.18;2001MeanDecodingIntensity:998.83;2001MeanDecodingIntensity_488:144.05;2001MeanDecodingIntensity_647:38.53;2001MeanDecodingIntensity_700:34.59;2001MeanDecodingIntensity_750:998.83;2001ReflectiveIntensity:13422.29;2001ReflectiveIntensityStdDev:608.652;2001SealTimeEstimate:23.3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12.61;Empties488F1MeanIntensity:70.47;Empties577F1IntensityStdDev:38.64;Empties577F1MeanIntensity:365.09;Empties577F2IntensityStdDev:43.27;Empties577F2MeanIntensity:365.95;Empties647F1IntensityStdDev:4.52;Empties647F1MeanIntensity:31.86;Empties700F1IntensityStdDev:4.49;Empties700F1MeanIntensity:29.56;Empties750F1IntensityStdDev:5.37;Empties750F1MeanIntensity:33.92;EmptiesIGrowth:186.44;EmptiesReflectiveIntensityStdDev:402.49;EmptiesReflectiveMeanIntensity:12126.38;Errors:;F2minusF1Shift:-1.0;FittedF2OverF1Intercept:-570.326762380759;FittedF2OverF1Slope:2.15631292884737;FluorescenceClassification:Normal;Focus_FracImageLost:0.00;FocusScoresAvg:3.99;FocusScoresImageCenter:3.99;FocusScoresMax:5.37;FocusScoresMedian:3.91;FractionImageDebris:0.1193;FractionWellsDebris:0.1166;ImageQualityScoreIfUnpegged:1.00;IndexingWellsMissingFromFov:1976;IndexingWellsTotalLostBothVisibleAndMissing:3728;IndexingWellsVisibleInFovButRemoved:1752;L1DR time (ms):29634;NetBeadFillRate:27.86;NormalizedFillPercentage:039.69;Notes:Indexing: stripe across bottom | Xtalk: usable out of spec wv 577 sr 0 dir 0 value 0.041. | Xtalk: usable out of spec wv 577 sr 4 dir 0 value 0.038. | Xtalk: usable out of spec wv 577 sr 8 dir 5 value 0.041.;NumberDecSaturated:0;NumberEmpties:66385;NumberFlagged_DeadPixels:87.0000;NumberFlagged_Debris:21995.0000;NumberFlagged_MissingNeighbor:2796.0000;NumberFlagged_OddlyRecurrentClassification:9016.0000;NumberFlagged_OutOfBounds:3256.0000;NumberInvalidWells:31735;NumberPositiveEmpties:135;NumberPositives:73453;NumberResSaturated:0;NumberSaturatedWithoutDebris:0;NumberValidUnclassified:46764.00;NumberValidWells:156841;OddlyAggregatedFlag:2;OddlyAggregatedLocations:;OddlyAggregatedWorst:0;OffsetW488:( 1, 0 );OffsetW577:( 0, 0 );OffsetW647:( 0, 0 );OffsetW700:( 0, -1 );OffsetW750:( 1, -1 );ResorufinUnsaturated:1;ResorufinUnsaturatedMutated:1;ResorufinUnsaturatedSuspiciousF1:0;ResorufinUnsaturaterNumberInFit:276;SaturatedDecodingWells:1;SuspiciousWells:28023;SuspiciousWellsFlagged:1;SuspiciousWellsLowerThreshold:5;Warnings:;WhiteLightChannelMedian:9862;XtalkSubregionsOutOfSpec:0</t>
  </si>
  <si>
    <t>0002_DecodingIntensityStdDev_577F1:79.301;0002_DecodingIntensityStdDev_577F2:162.988;0002_MeanDecodingIntensity_577F1:525.39;0002_MeanDecodingIntensity_577F2:653.17;0002AEB:-;0002DecodingIntensityStdDev:334.015;0002DecodingIntensityStdDev_488:334.015;0002DecodingIntensityStdDev_647:4.869;0002DecodingIntensityStdDev_700:4.777;0002DecodingIntensityStdDev_750:5.848;0002F_on:0.9377;0002FillPercent:014.41;0002KineticInconsistentLower:0;0002KineticInconsistentMetadata:-482.966595338306|2.21;0002MeanDecodingIntensity:1623.13;0002MeanDecodingIntensity_488:1623.13;0002MeanDecodingIntensity_647:35.03;0002MeanDecodingIntensity_700:30.24;0002MeanDecodingIntensity_750:34.77;0002ReflectiveIntensity:13317.78;0002ReflectiveIntensityStdDev:630.696;0002SealTimeEstimate:22.7;0021_DecodingIntensityStdDev_577F1:81.443;0021_DecodingIntensityStdDev_577F2:173.073;0021_MeanDecodingIntensity_577F1:539.83;0021_MeanDecodingIntensity_577F2:695.03;0021AEB:-;0021DecodingIntensityStdDev:85.083;0021DecodingIntensityStdDev_488:20.946;0021DecodingIntensityStdDev_647:85.083;0021DecodingIntensityStdDev_700:9.878;0021DecodingIntensityStdDev_750:6.072;0021F_on:0.9794;0021FillPercent:008.89;0021KineticInconsistentLower:0;0021KineticInconsistentMetadata:-510.249864319972|2.28;0021MeanDecodingIntensity:438.16;0021MeanDecodingIntensity_488:140.45;0021MeanDecodingIntensity_647:438.16;0021MeanDecodingIntensity_700:69.80;0021MeanDecodingIntensity_750:34.96;0021ReflectiveIntensity:13081.95;0021ReflectiveIntensityStdDev:545.339;0021SealTimeEstimate:21.4;0201_DecodingIntensityStdDev_577F1:91.023;0201_DecodingIntensityStdDev_577F2:191.953;0201_MeanDecodingIntensity_577F1:537.49;0201_MeanDecodingIntensity_577F2:689.21;0201AEB:-;0201DecodingIntensityStdDev:121.272;0201DecodingIntensityStdDev_488:25.797;0201DecodingIntensityStdDev_647:19.123;0201DecodingIntensityStdDev_700:121.272;0201DecodingIntensityStdDev_750:11.106;0201F_on:0.9738;0201FillPercent:010.29;0201KineticInconsistentLower:0;0201KineticInconsistentMetadata:-504.440019214888|2.27;0201MeanDecodingIntensity:514.09;0201MeanDecodingIntensity_488:144.29;0201MeanDecodingIntensity_647:100.87;0201MeanDecodingIntensity_700:514.09;0201MeanDecodingIntensity_750:65.19;0201ReflectiveIntensity:13143.63;0201ReflectiveIntensityStdDev:575.471;0201SealTimeEstimate:21.6;2001_DecodingIntensityStdDev_577F1:84.260;2001_DecodingIntensityStdDev_577F2:175.138;2001_MeanDecodingIntensity_577F1:565.08;2001_MeanDecodingIntensity_577F2:712.94;2001AEB:-;2001DecodingIntensityStdDev:221.618;2001DecodingIntensityStdDev_488:24.328;2001DecodingIntensityStdDev_647:5.483;2001DecodingIntensityStdDev_700:5.596;2001DecodingIntensityStdDev_750:221.618;2001F_on:0.9697;2001FillPercent:009.93;2001KineticInconsistentLower:0;2001KineticInconsistentMetadata:-525.197128206885|2.24;2001MeanDecodingIntensity:963.17;2001MeanDecodingIntensity_488:143.13;2001MeanDecodingIntensity_647:38.33;2001MeanDecodingIntensity_700:34.36;2001MeanDecodingIntensity_750:963.17;2001ReflectiveIntensity:13129.37;2001ReflectiveIntensityStdDev:578.495;2001SealTimeEstimate:22.2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11.94;Empties488F1MeanIntensity:70.80;Empties577F1IntensityStdDev:20.00;Empties577F1MeanIntensity:397.13;Empties577F2IntensityStdDev:24.99;Empties577F2MeanIntensity:396.47;Empties647F1IntensityStdDev:4.28;Empties647F1MeanIntensity:31.53;Empties700F1IntensityStdDev:4.28;Empties700F1MeanIntensity:29.31;Empties750F1IntensityStdDev:5.17;Empties750F1MeanIntensity:33.69;EmptiesIGrowth:132.91;EmptiesReflectiveIntensityStdDev:348.59;EmptiesReflectiveMeanIntensity:11812.62;Errors:;F2minusF1Shift:1.0;FittedF2OverF1Intercept:-581.684283101158;FittedF2OverF1Slope:2.1348551398482;FluorescenceClassification:Normal;Focus_FracImageLost:0.00;FocusScoresAvg:3.91;FocusScoresImageCenter:4.61;FocusScoresMax:5.15;FocusScoresMedian:3.90;FractionImageDebris:0.1607;FractionWellsDebris:0.1758;ImageQualityScoreIfUnpegged:1.00;IndexingWellsMissingFromFov:0;IndexingWellsTotalLostBothVisibleAndMissing:0;IndexingWellsVisibleInFovButRemoved:0;L1DR time (ms):29241;NetBeadFillRate:30.54;NormalizedFillPercentage:043.52;Notes:Xtalk: usable out of spec wv 577 sr 8 dir 5 value 0.036.;NumberDecSaturated:0;NumberEmpties:56036;NumberFlagged_DeadPixels:75.0000;NumberFlagged_Debris:33805.0000;NumberFlagged_MissingNeighbor:2752.0000;NumberFlagged_NeighborSaturated:30.0000;NumberFlagged_OddlyRecurrentClassification:23805.0000;NumberFlagged_OutOfBounds:4179.0000;NumberFlagged_SaturatedPixelResorufinTwo:07.0000;NumberFlagged_SaturationRemoverSuspiciousF1:06.0000;NumberInvalidWells:50846;NumberPositiveEmpties:112;NumberPositives:84623;NumberResSaturated:7;NumberSaturatedWithoutDebris:1;NumberValidUnclassified:42184.00;NumberValidWells:141396;OddlyAggregatedFlag:2;OddlyAggregatedLocations:;OddlyAggregatedWorst:0;OffsetW488:( 1, 0 );OffsetW577:( 0, 0 );OffsetW647:( 0, 0 );OffsetW700:( 0, 0 );OffsetW750:( 1, -1 );ResorufinUnsaturated:1;ResorufinUnsaturatedMutated:0;ResorufinUnsaturatedSuspiciousF1:6;ResorufinUnsaturaterNumberInFit:433;SaturatedDecodingWells:1;SuspiciousWells:21403;SuspiciousWellsFlagged:1;SuspiciousWellsLowerThreshold:6;Warnings:;WhiteLightChannelMedian:9769;XtalkSubregionsOutOfSpec:0</t>
  </si>
  <si>
    <t>0002_DecodingIntensityStdDev_577F1:75.512;0002_DecodingIntensityStdDev_577F2:152.068;0002_MeanDecodingIntensity_577F1:515.28;0002_MeanDecodingIntensity_577F2:638.82;0002AEB:-;0002DecodingIntensityStdDev:320.503;0002DecodingIntensityStdDev_488:320.503;0002DecodingIntensityStdDev_647:4.603;0002DecodingIntensityStdDev_700:4.460;0002DecodingIntensityStdDev_750:5.490;0002F_on:0.9298;0002FillPercent:012.47;0002KineticInconsistentLower:0;0002KineticInconsistentMetadata:-460.58054794074|2.18;0002MeanDecodingIntensity:1627.18;0002MeanDecodingIntensity_488:1627.18;0002MeanDecodingIntensity_647:34.88;0002MeanDecodingIntensity_700:29.98;0002MeanDecodingIntensity_750:34.48;0002ReflectiveIntensity:13385.24;0002ReflectiveIntensityStdDev:605.677;0002SealTimeEstimate:23.3;0021_DecodingIntensityStdDev_577F1:76.272;0021_DecodingIntensityStdDev_577F2:158.174;0021_MeanDecodingIntensity_577F1:529.69;0021_MeanDecodingIntensity_577F2:679.82;0021AEB:-;0021DecodingIntensityStdDev:80.945;0021DecodingIntensityStdDev_488:18.869;0021DecodingIntensityStdDev_647:80.945;0021DecodingIntensityStdDev_700:9.554;0021DecodingIntensityStdDev_750:5.503;0021F_on:0.9720;0021FillPercent:007.64;0021KineticInconsistentLower:0;0021KineticInconsistentMetadata:-492.477177869615|2.26;0021MeanDecodingIntensity:452.34;0021MeanDecodingIntensity_488:139.35;0021MeanDecodingIntensity_647:452.34;0021MeanDecodingIntensity_700:71.27;0021MeanDecodingIntensity_750:34.48;0021ReflectiveIntensity:13157.61;0021ReflectiveIntensityStdDev:522.526;0021SealTimeEstimate:21.8;0201_DecodingIntensityStdDev_577F1:80.547;0201_DecodingIntensityStdDev_577F2:167.323;0201_MeanDecodingIntensity_577F1:524.69;0201_MeanDecodingIntensity_577F2:669.09;0201AEB:-;0201DecodingIntensityStdDev:101.776;0201DecodingIntensityStdDev_488:20.776;0201DecodingIntensityStdDev_647:14.426;0201DecodingIntensityStdDev_700:101.776;0201DecodingIntensityStdDev_750:9.594;0201F_on:0.9677;0201FillPercent:008.74;0201KineticInconsistentLower:0;0201KineticInconsistentMetadata:-477.37111619545|2.23;0201MeanDecodingIntensity:528.48;0201MeanDecodingIntensity_488:140.68;0201MeanDecodingIntensity_647:102.03;0201MeanDecodingIntensity_700:528.48;0201MeanDecodingIntensity_750:65.52;0201ReflectiveIntensity:13175.78;0201ReflectiveIntensityStdDev:532.424;0201SealTimeEstimate:22.4;2001_DecodingIntensityStdDev_577F1:83.968;2001_DecodingIntensityStdDev_577F2:172.064;2001_MeanDecodingIntensity_577F1:557.89;2001_MeanDecodingIntensity_577F2:702.62;2001AEB:-;2001DecodingIntensityStdDev:212.692;2001DecodingIntensityStdDev_488:21.076;2001DecodingIntensityStdDev_647:5.121;2001DecodingIntensityStdDev_700:5.172;2001DecodingIntensityStdDev_750:212.692;2001F_on:0.9651;2001FillPercent:008.28;2001KineticInconsistentLower:0;2001KineticInconsistentMetadata:-504.478278859779|2.21;2001MeanDecodingIntensity:1022.45;2001MeanDecodingIntensity_488:140.74;2001MeanDecodingIntensity_647:38.31;2001MeanDecodingIntensity_700:34.41;2001MeanDecodingIntensity_750:1022.45;2001ReflectiveIntensity:13190.70;2001ReflectiveIntensityStdDev:556.872;2001SealTimeEstimate:22.7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10.38;Empties488F1MeanIntensity:67.29;Empties577F1IntensityStdDev:22.06;Empties577F1MeanIntensity:384.37;Empties577F2IntensityStdDev:26.74;Empties577F2MeanIntensity:383.68;Empties647F1IntensityStdDev:4.09;Empties647F1MeanIntensity:31.44;Empties700F1IntensityStdDev:4.05;Empties700F1MeanIntensity:29.17;Empties750F1IntensityStdDev:4.82;Empties750F1MeanIntensity:33.47;EmptiesIGrowth:147.90;EmptiesReflectiveIntensityStdDev:352.24;EmptiesReflectiveMeanIntensity:11895.04;Errors:;F2minusF1Shift:0.0;FittedF2OverF1Intercept:-553.310945025741;FittedF2OverF1Slope:2.12704208233881;FluorescenceClassification:Normal;Focus_FracImageLost:0.00;FocusScoresAvg:3.76;FocusScoresImageCenter:4.59;FocusScoresMax:5.13;FocusScoresMedian:3.71;FractionImageDebris:0.1477;FractionWellsDebris:0.1471;ImageQualityScoreIfUnpegged:1.00;IndexingWellsMissingFromFov:906;IndexingWellsTotalLostBothVisibleAndMissing:3728;IndexingWellsVisibleInFovButRemoved:2822;L1DR time (ms):27996;NetBeadFillRate:26.09;NormalizedFillPercentage:037.13;Notes:Indexing: stripe across bottom;NumberDecSaturated:0;NumberEmpties:68958;NumberFlagged_DeadPixels:74.0000;NumberFlagged_Debris:27754.0000;NumberFlagged_MissingNeighbor:2338.0000;NumberFlagged_NeighborSaturated:22.0000;NumberFlagged_OddlyRecurrentClassification:7782.0000;NumberFlagged_OutOfBounds:3212.0000;NumberFlagged_SaturatedPixelResorufinTwo:04.0000;NumberFlagged_SaturationRemoverSuspiciousF1:04.0000;NumberInvalidWells:32549;NumberPositiveEmpties:115;NumberPositives:70618;NumberResSaturated:4;NumberSaturatedWithoutDebris:1;NumberValidUnclassified:46443.00;NumberValidWells:156130;OddlyAggregatedFlag:2;OddlyAggregatedLocations:;OddlyAggregatedWorst:0;OffsetW488:( 0, 0 );OffsetW577:( 0, 0 );OffsetW647:( 0, 0 );OffsetW700:( 0, 0 );OffsetW750:( 0, -1 );ResorufinUnsaturated:1;ResorufinUnsaturatedMutated:2;ResorufinUnsaturatedSuspiciousF1:4;ResorufinUnsaturaterNumberInFit:285;SaturatedDecodingWells:0;SuspiciousWells:21905;SuspiciousWellsFlagged:1;SuspiciousWellsLowerThreshold:5;Warnings:;WhiteLightChannelMedian:9709;XtalkSubregionsOutOfSpec:0</t>
  </si>
  <si>
    <t>high-1-8-2</t>
  </si>
  <si>
    <t>Plate 1 - Well E9</t>
  </si>
  <si>
    <t>0002_DecodingIntensityStdDev_577F1:36.565;0002_DecodingIntensityStdDev_577F2:71.595;0002_MeanDecodingIntensity_577F1:409.30;0002_MeanDecodingIntensity_577F2:417.34;0002AEB:00.0276;0002DecodingIntensityStdDev:336.051;0002DecodingIntensityStdDev_488:336.051;0002DecodingIntensityStdDev_647:4.977;0002DecodingIntensityStdDev_700:4.870;0002DecodingIntensityStdDev_750:6.292;0002F_on:0.0272;0002FillPercent:014.82;0002KineticInconsistentLower:0;0002KineticInconsistentMetadata:-565.800271072986|2.45;0002MeanDecodingIntensity:1609.17;0002MeanDecodingIntensity_488:1609.17;0002MeanDecodingIntensity_647:34.70;0002MeanDecodingIntensity_700:30.28;0002MeanDecodingIntensity_750:35.18;0002ReflectiveIntensity:13424.01;0002ReflectiveIntensityStdDev:609.349;0002SealTimeEstimate:18.8;0021_DecodingIntensityStdDev_577F1:33.484;0021_DecodingIntensityStdDev_577F2:66.574;0021_MeanDecodingIntensity_577F1:401.68;0021_MeanDecodingIntensity_577F2:407.50;0021AEB:00.0143;0021DecodingIntensityStdDev:83.913;0021DecodingIntensityStdDev_488:22.724;0021DecodingIntensityStdDev_647:83.913;0021DecodingIntensityStdDev_700:9.865;0021DecodingIntensityStdDev_750:6.631;0021F_on:0.0142;0021FillPercent:009.16;0021KineticInconsistentLower:0;0021KineticInconsistentMetadata:-546.560743013911|2.44;0021MeanDecodingIntensity:424.36;0021MeanDecodingIntensity_488:139.88;0021MeanDecodingIntensity_647:424.36;0021MeanDecodingIntensity_700:68.91;0021MeanDecodingIntensity_750:35.37;0021ReflectiveIntensity:13188.34;0021ReflectiveIntensityStdDev:512.197;0021SealTimeEstimate:19.0;0201_DecodingIntensityStdDev_577F1:31.654;0201_DecodingIntensityStdDev_577F2:60.100;0201_MeanDecodingIntensity_577F1:401.78;0201_MeanDecodingIntensity_577F2:407.90;0201AEB:00.0172;0201DecodingIntensityStdDev:117.387;0201DecodingIntensityStdDev_488:29.776;0201DecodingIntensityStdDev_647:26.058;0201DecodingIntensityStdDev_700:117.387;0201DecodingIntensityStdDev_750:11.687;0201F_on:0.0170;0201FillPercent:010.91;0201KineticInconsistentLower:0;0201KineticInconsistentMetadata:-590.242164718301|2.53;0201MeanDecodingIntensity:501.40;0201MeanDecodingIntensity_488:143.61;0201MeanDecodingIntensity_647:99.77;0201MeanDecodingIntensity_700:501.40;0201MeanDecodingIntensity_750:65.34;0201ReflectiveIntensity:13252.81;0201ReflectiveIntensityStdDev:551.711;0201SealTimeEstimate:17.8;2001_DecodingIntensityStdDev_577F1:33.828;2001_DecodingIntensityStdDev_577F2:60.594;2001_MeanDecodingIntensity_577F1:432.14;2001_MeanDecodingIntensity_577F2:438.13;2001AEB:00.0171;2001DecodingIntensityStdDev:231.996;2001DecodingIntensityStdDev_488:28.747;2001DecodingIntensityStdDev_647:5.792;2001DecodingIntensityStdDev_700:5.989;2001DecodingIntensityStdDev_750:231.996;2001F_on:0.0170;2001FillPercent:010.25;2001KineticInconsistentLower:0;2001KineticInconsistentMetadata:-623.929920020439|2.51;2001MeanDecodingIntensity:953.92;2001MeanDecodingIntensity_488:142.48;2001MeanDecodingIntensity_647:37.88;2001MeanDecodingIntensity_700:34.49;2001MeanDecodingIntensity_750:953.92;2001ReflectiveIntensity:13225.71;2001ReflectiveIntensityStdDev:549.044;2001SealTimeEstimate:18.1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12.61;Empties488F1MeanIntensity:69.04;Empties577F1IntensityStdDev:16.57;Empties577F1MeanIntensity:375.10;Empties577F2IntensityStdDev:19.22;Empties577F2MeanIntensity:373.29;Empties647F1IntensityStdDev:4.37;Empties647F1MeanIntensity:31.42;Empties700F1IntensityStdDev:4.38;Empties700F1MeanIntensity:29.38;Empties750F1IntensityStdDev:5.35;Empties750F1MeanIntensity:33.74;EmptiesIGrowth:475.67;EmptiesReflectiveIntensityStdDev:332.74;EmptiesReflectiveMeanIntensity:11949.51;Errors:;F2minusF1Shift:-0.8;FluorescenceClassification:Normal;Focus_FracImageLost:0.00;FocusScoresAvg:3.63;FocusScoresImageCenter:4.66;FocusScoresMax:4.85;FocusScoresMedian:3.66;FractionImageDebris:0.0718;FractionWellsDebris:0.0780;ImageQualityScoreIfUnpegged:1.00;IndexingWellsMissingFromFov:0;IndexingWellsTotalLostBothVisibleAndMissing:0;IndexingWellsVisibleInFovButRemoved:0;L1DR time (ms):30096;NetBeadFillRate:31.68;NormalizedFillPercentage:045.15;Notes:Xtalk: usable out of spec wv 577 sr 9 dir 5 value 0.041.;NumberDecSaturated:0;NumberEmpties:66456;NumberFlagged_DeadPixels:82.0000;NumberFlagged_Debris:14971.0000;NumberFlagged_MissingNeighbor:2640.0000;NumberFlagged_OddlyRecurrentClassification:795.0000;NumberFlagged_OutOfBounds:4185.0000;NumberInvalidWells:19419;NumberPositiveEmpties:7;NumberPositives:2213;NumberResSaturated:0;NumberSaturatedWithoutDebris:0;NumberValidUnclassified:51468.00;NumberValidWells:172618;OddlyAggregatedFlag:2;OddlyAggregatedLocations:;OddlyAggregatedWorst:0;OffsetW488:( 1, 0 );OffsetW577:( 0, 0 );OffsetW647:( 0, 0 );OffsetW700:( 0, 0 );OffsetW750:( 1, 0 );ResorufinUnsaturated:0;ResorufinUnsaturatedMutated:0;ResorufinUnsaturaterNumberInFit:18;SaturatedDecodingWells:1;SuspiciousWells:21730;SuspiciousWellsFlagged:1;SuspiciousWellsLowerThreshold:6;Warnings:;WhiteLightChannelMedian:9933;XtalkSubregionsOutOfSpec:0</t>
  </si>
  <si>
    <t>0002_DecodingIntensityStdDev_577F1:34.390;0002_DecodingIntensityStdDev_577F2:70.121;0002_MeanDecodingIntensity_577F1:411.32;0002_MeanDecodingIntensity_577F2:416.79;0002AEB:00.0319;0002DecodingIntensityStdDev:351.122;0002DecodingIntensityStdDev_488:351.122;0002DecodingIntensityStdDev_647:4.956;0002DecodingIntensityStdDev_700:5.093;0002DecodingIntensityStdDev_750:6.468;0002F_on:0.0314;0002FillPercent:015.36;0002KineticInconsistentLower:0;0002KineticInconsistentMetadata:-725.4543165021|2.88;0002MeanDecodingIntensity:1579.54;0002MeanDecodingIntensity_488:1579.54;0002MeanDecodingIntensity_647:34.81;0002MeanDecodingIntensity_700:30.58;0002MeanDecodingIntensity_750:35.40;0002ReflectiveIntensity:13414.41;0002ReflectiveIntensityStdDev:568.496;0002SealTimeEstimate:14.4;0021_DecodingIntensityStdDev_577F1:29.687;0021_DecodingIntensityStdDev_577F2:58.382;0021_MeanDecodingIntensity_577F1:403.97;0021_MeanDecodingIntensity_577F2:406.44;0021AEB:00.0162;0021DecodingIntensityStdDev:83.078;0021DecodingIntensityStdDev_488:22.336;0021DecodingIntensityStdDev_647:83.078;0021DecodingIntensityStdDev_700:9.970;0021DecodingIntensityStdDev_750:6.733;0021F_on:0.0161;0021FillPercent:009.26;0021KineticInconsistentLower:0;0021KineticInconsistentMetadata:-793.126164091956|3.04;0021MeanDecodingIntensity:417.42;0021MeanDecodingIntensity_488:140.12;0021MeanDecodingIntensity_647:417.42;0021MeanDecodingIntensity_700:68.52;0021MeanDecodingIntensity_750:35.58;0021ReflectiveIntensity:13195.82;0021ReflectiveIntensityStdDev:469.537;0021SealTimeEstimate:13.2;0201_DecodingIntensityStdDev_577F1:31.313;0201_DecodingIntensityStdDev_577F2:63.789;0201_MeanDecodingIntensity_577F1:404.20;0201_MeanDecodingIntensity_577F2:407.83;0201AEB:00.0199;0201DecodingIntensityStdDev:115.669;0201DecodingIntensityStdDev_488:25.628;0201DecodingIntensityStdDev_647:17.466;0201DecodingIntensityStdDev_700:115.669;0201DecodingIntensityStdDev_750:11.317;0201F_on:0.0197;0201FillPercent:010.71;0201KineticInconsistentLower:0;0201KineticInconsistentMetadata:-805.956996293184|3.05;0201MeanDecodingIntensity:497.86;0201MeanDecodingIntensity_488:142.74;0201MeanDecodingIntensity_647:97.68;0201MeanDecodingIntensity_700:497.86;0201MeanDecodingIntensity_750:65.45;0201ReflectiveIntensity:13247.59;0201ReflectiveIntensityStdDev:509.560;0201SealTimeEstimate:13.2;2001_DecodingIntensityStdDev_577F1:35.967;2001_DecodingIntensityStdDev_577F2:71.297;2001_MeanDecodingIntensity_577F1:435.34;2001_MeanDecodingIntensity_577F2:439.72;2001AEB:00.0230;2001DecodingIntensityStdDev:232.224;2001DecodingIntensityStdDev_488:25.003;2001DecodingIntensityStdDev_647:5.377;2001DecodingIntensityStdDev_700:5.976;2001DecodingIntensityStdDev_750:232.224;2001F_on:0.0228;2001FillPercent:010.36;2001KineticInconsistentLower:0;2001KineticInconsistentMetadata:-867.338687749773|3.07;2001MeanDecodingIntensity:950.57;2001MeanDecodingIntensity_488:142.04;2001MeanDecodingIntensity_647:37.95;2001MeanDecodingIntensity_700:34.63;2001MeanDecodingIntensity_750:950.57;2001ReflectiveIntensity:13242.79;2001ReflectiveIntensityStdDev:519.447;2001SealTimeEstimate:13.0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12.23;Empties488F1MeanIntensity:70.83;Empties577F1IntensityStdDev:21.55;Empties577F1MeanIntensity:376.13;Empties577F2IntensityStdDev:23.18;Empties577F2MeanIntensity:371.13;Empties647F1IntensityStdDev:4.33;Empties647F1MeanIntensity:31.49;Empties700F1IntensityStdDev:4.38;Empties700F1MeanIntensity:29.50;Empties750F1IntensityStdDev:5.35;Empties750F1MeanIntensity:34.00;EmptiesIGrowth:353.98;EmptiesReflectiveIntensityStdDev:307.48;EmptiesReflectiveMeanIntensity:11965.25;Errors:;F2minusF1Shift:3.1;FluorescenceClassification:Normal;Focus_FracImageLost:0.00;FocusScoresAvg:3.72;FocusScoresImageCenter:5.05;FocusScoresMax:5.08;FocusScoresMedian:3.74;FractionImageDebris:0.0668;FractionWellsDebris:0.0734;ImageQualityScoreIfUnpegged:0.60;IndexingWellsMissingFromFov:0;IndexingWellsTotalLostBothVisibleAndMissing:0;IndexingWellsVisibleInFovButRemoved:0;L1DR time (ms):28920;NetBeadFillRate:32.06;NormalizedFillPercentage:045.69;Notes:Xtalk: usable out of spec wv 577 sr 4 dir 5 value 0.036. | Xtalk: usable out of spec wv 577 sr 9 dir 5 value 0.046.;NumberDecSaturated:0;NumberEmpties:60765;NumberFlagged_DeadPixels:73.0000;NumberFlagged_Debris:14098.0000;NumberFlagged_MissingNeighbor:2600.0000;NumberFlagged_OddlyRecurrentClassification:5105.0000;NumberFlagged_OutOfBounds:4213.0000;NumberFlagged_OutOfSpecXtalk:15835.0000;NumberInvalidWells:32717;NumberPositiveEmpties:10;NumberPositives:2599;NumberResSaturated:0;NumberSaturatedWithoutDebris:0;NumberValidUnclassified:47544.00;NumberValidWells:159428;OddlyAggregatedFlag:2;OddlyAggregatedLocations:;OddlyAggregatedWorst:0;OffsetW488:( 0, 0 );OffsetW577:( 0, 0 );OffsetW647:( 0, 0 );OffsetW700:( 0, 0 );OffsetW750:( 0, 0 );ResorufinUnsaturated:0;ResorufinUnsaturatedMutated:0;ResorufinUnsaturaterNumberInFit:6;SaturatedDecodingWells:0;SuspiciousWells:25978;SuspiciousWellsFlagged:1;SuspiciousWellsLowerThreshold:5;Warnings:Xtalk: unusable out of spec wv 577 sr 8 dir 5 value 0.070.;WhiteLightChannelMedian:9874;XtalkSubregionsOutOfSpec:1</t>
  </si>
  <si>
    <t>0002_DecodingIntensityStdDev_577F1:41.331;0002_DecodingIntensityStdDev_577F2:80.041;0002_MeanDecodingIntensity_577F1:396.75;0002_MeanDecodingIntensity_577F2:405.17;0002AEB:00.0335;0002DecodingIntensityStdDev:348.874;0002DecodingIntensityStdDev_488:348.874;0002DecodingIntensityStdDev_647:4.749;0002DecodingIntensityStdDev_700:4.652;0002DecodingIntensityStdDev_750:5.723;0002F_on:0.0330;0002FillPercent:013.80;0002KineticInconsistentLower:0;0002KineticInconsistentMetadata:-508.586925855695|2.36;0002MeanDecodingIntensity:1679.97;0002MeanDecodingIntensity_488:1679.97;0002MeanDecodingIntensity_647:34.84;0002MeanDecodingIntensity_700:30.20;0002MeanDecodingIntensity_750:34.66;0002ReflectiveIntensity:13667.24;0002ReflectiveIntensityStdDev:586.887;0002SealTimeEstimate:20.1;0021_DecodingIntensityStdDev_577F1:33.142;0021_DecodingIntensityStdDev_577F2:60.866;0021_MeanDecodingIntensity_577F1:388.48;0021_MeanDecodingIntensity_577F2:393.96;0021AEB:00.0183;0021DecodingIntensityStdDev:85.211;0021DecodingIntensityStdDev_488:21.056;0021DecodingIntensityStdDev_647:85.211;0021DecodingIntensityStdDev_700:9.965;0021DecodingIntensityStdDev_750:5.985;0021F_on:0.0181;0021FillPercent:008.36;0021KineticInconsistentLower:0;0021KineticInconsistentMetadata:-470.864500071332|2.3;0021MeanDecodingIntensity:445.72;0021MeanDecodingIntensity_488:138.99;0021MeanDecodingIntensity_647:445.72;0021MeanDecodingIntensity_700:70.89;0021MeanDecodingIntensity_750:34.74;0021ReflectiveIntensity:13402.95;0021ReflectiveIntensityStdDev:508.039;0021SealTimeEstimate:21.1;0201_DecodingIntensityStdDev_577F1:36.712;0201_DecodingIntensityStdDev_577F2:69.601;0201_MeanDecodingIntensity_577F1:388.42;0201_MeanDecodingIntensity_577F2:395.06;0201AEB:00.0233;0201DecodingIntensityStdDev:110.897;0201DecodingIntensityStdDev_488:26.884;0201DecodingIntensityStdDev_647:21.702;0201DecodingIntensityStdDev_700:110.897;0201DecodingIntensityStdDev_750:11.239;0201F_on:0.0230;0201FillPercent:009.67;0201KineticInconsistentLower:0;0201KineticInconsistentMetadata:-493.895533428963|2.34;0201MeanDecodingIntensity:524.98;0201MeanDecodingIntensity_488:141.90;0201MeanDecodingIntensity_647:101.15;0201MeanDecodingIntensity_700:524.98;0201MeanDecodingIntensity_750:65.46;0201ReflectiveIntensity:13458.72;0201ReflectiveIntensityStdDev:534.418;0201SealTimeEstimate:20.4;2001_DecodingIntensityStdDev_577F1:40.161;2001_DecodingIntensityStdDev_577F2:74.683;2001_MeanDecodingIntensity_577F1:420.88;2001_MeanDecodingIntensity_577F2:427.65;2001AEB:00.0231;2001DecodingIntensityStdDev:221.466;2001DecodingIntensityStdDev_488:25.102;2001DecodingIntensityStdDev_647:5.532;2001DecodingIntensityStdDev_700:5.487;2001DecodingIntensityStdDev_750:221.466;2001F_on:0.0228;2001FillPercent:009.08;2001KineticInconsistentLower:0;2001KineticInconsistentMetadata:-555.963043436858|2.38;2001MeanDecodingIntensity:1005.69;2001MeanDecodingIntensity_488:141.00;2001MeanDecodingIntensity_647:38.19;2001MeanDecodingIntensity_700:34.38;2001MeanDecodingIntensity_750:1005.69;2001ReflectiveIntensity:13441.90;2001ReflectiveIntensityStdDev:535.870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11.16;Empties488F1MeanIntensity:64.43;Empties577F1IntensityStdDev:26.99;Empties577F1MeanIntensity:348.75;Empties577F2IntensityStdDev:28.76;Empties577F2MeanIntensity:347.44;Empties647F1IntensityStdDev:4.35;Empties647F1MeanIntensity:31.46;Empties700F1IntensityStdDev:4.29;Empties700F1MeanIntensity:29.27;Empties750F1IntensityStdDev:5.04;Empties750F1MeanIntensity:33.40;EmptiesIGrowth:660.62;EmptiesReflectiveIntensityStdDev:332.23;EmptiesReflectiveMeanIntensity:12112.94;Errors:;F2minusF1Shift:-1.3;FluorescenceClassification:Normal;Focus_FracImageLost:0.00;FocusScoresAvg:3.63;FocusScoresImageCenter:4.64;FocusScoresMax:4.77;FocusScoresMedian:3.78;FractionImageDebris:0.0479;FractionWellsDebris:0.0548;ImageQualityScoreIfUnpegged:1.00;IndexingWellsMissingFromFov:0;IndexingWellsTotalLostBothVisibleAndMissing:0;IndexingWellsVisibleInFovButRemoved:0;L1DR time (ms):37622;NetBeadFillRate:28.73;NormalizedFillPercentage:040.91;Notes:Xtalk: usable out of spec wv 577 sr 4 dir 5 value 0.038. | Xtalk: usable out of spec wv 488 sr 4 dir 5 value 0.036. | Xtalk: usable out of spec wv 488 sr 8 dir 5 value 0.036.;NumberDecSaturated:0;NumberEmpties:73248;NumberFlagged_DeadPixels:65.0000;NumberFlagged_Debris:10537.0000;NumberFlagged_MissingNeighbor:3146.0000;NumberFlagged_OutOfBounds:4160.0000;NumberInvalidWells:15790;NumberPositiveEmpties:5;NumberPositives:2555;NumberResSaturated:0;NumberSaturatedWithoutDebris:0;NumberValidUnclassified:52552.00;NumberValidWells:176505;OddlyAggregatedFlag:2;OddlyAggregatedLocations:;OddlyAggregatedWorst:0;OffsetW488:( 0, 0 );OffsetW577:( 0, 0 );OffsetW647:( 0, 0 );OffsetW700:( 0, -1 );OffsetW750:( 0, -1 );ResorufinUnsaturated:0;ResorufinUnsaturatedMutated:0;ResorufinUnsaturaterNumberInFit:26;SaturatedDecodingWells:0;SuspiciousWells:28009;SuspiciousWellsFlagged:1;SuspiciousWellsLowerThreshold:5;Warnings:;WhiteLightChannelMedian:9967;XtalkSubregionsOutOfSpec:0</t>
  </si>
  <si>
    <t>high-1-8-1</t>
  </si>
  <si>
    <t>Plate 1 - Well F9</t>
  </si>
  <si>
    <t>0002_DecodingIntensityStdDev_577F1:41.247;0002_DecodingIntensityStdDev_577F2:79.919;0002_MeanDecodingIntensity_577F1:402.75;0002_MeanDecodingIntensity_577F2:410.95;0002AEB:00.0309;0002DecodingIntensityStdDev:320.192;0002DecodingIntensityStdDev_488:320.192;0002DecodingIntensityStdDev_647:4.667;0002DecodingIntensityStdDev_700:4.513;0002DecodingIntensityStdDev_750:5.502;0002F_on:0.0305;0002FillPercent:012.86;0002KineticInconsistentLower:0;0002KineticInconsistentMetadata:-533.157812383329|2.4;0002MeanDecodingIntensity:1650.44;0002MeanDecodingIntensity_488:1650.44;0002MeanDecodingIntensity_647:34.68;0002MeanDecodingIntensity_700:30.13;0002MeanDecodingIntensity_750:34.65;0002ReflectiveIntensity:13591.63;0002ReflectiveIntensityStdDev:572.493;0002SealTimeEstimate:19.5;0021_DecodingIntensityStdDev_577F1:32.676;0021_DecodingIntensityStdDev_577F2:59.422;0021_MeanDecodingIntensity_577F1:394.95;0021_MeanDecodingIntensity_577F2:400.01;0021AEB:00.0145;0021DecodingIntensityStdDev:76.033;0021DecodingIntensityStdDev_488:19.372;0021DecodingIntensityStdDev_647:76.033;0021DecodingIntensityStdDev_700:8.903;0021DecodingIntensityStdDev_750:5.506;0021F_on:0.0144;0021FillPercent:007.79;0021KineticInconsistentLower:0;0021KineticInconsistentMetadata:-504.557777484528|2.36;0021MeanDecodingIntensity:436.10;0021MeanDecodingIntensity_488:137.73;0021MeanDecodingIntensity_647:436.10;0021MeanDecodingIntensity_700:69.58;0021MeanDecodingIntensity_750:34.61;0021ReflectiveIntensity:13341.61;0021ReflectiveIntensityStdDev:490.752;0021SealTimeEstimate:20.1;0201_DecodingIntensityStdDev_577F1:36.193;0201_DecodingIntensityStdDev_577F2:68.679;0201_MeanDecodingIntensity_577F1:394.43;0201_MeanDecodingIntensity_577F2:400.28;0201AEB:00.0183;0201DecodingIntensityStdDev:93.426;0201DecodingIntensityStdDev_488:21.292;0201DecodingIntensityStdDev_647:13.657;0201DecodingIntensityStdDev_700:93.426;0201DecodingIntensityStdDev_750:9.286;0201F_on:0.0181;0201FillPercent:008.76;0201KineticInconsistentLower:0;0201KineticInconsistentMetadata:-554.990304640308|2.46;0201MeanDecodingIntensity:510.54;0201MeanDecodingIntensity_488:138.77;0201MeanDecodingIntensity_647:99.16;0201MeanDecodingIntensity_700:510.54;0201MeanDecodingIntensity_750:64.34;0201ReflectiveIntensity:13369.26;0201ReflectiveIntensityStdDev:499.830;0201SealTimeEstimate:18.7;2001_DecodingIntensityStdDev_577F1:39.861;2001_DecodingIntensityStdDev_577F2:76.125;2001_MeanDecodingIntensity_577F1:425.67;2001_MeanDecodingIntensity_577F2:432.04;2001AEB:00.0190;2001DecodingIntensityStdDev:199.316;2001DecodingIntensityStdDev_488:21.107;2001DecodingIntensityStdDev_647:5.019;2001DecodingIntensityStdDev_700:5.170;2001DecodingIntensityStdDev_750:199.316;2001F_on:0.0188;2001FillPercent:008.37;2001KineticInconsistentLower:0;2001KineticInconsistentMetadata:-579.891169361927|2.43;2001MeanDecodingIntensity:967.26;2001MeanDecodingIntensity_488:138.73;2001MeanDecodingIntensity_647:37.76;2001MeanDecodingIntensity_700:34.20;2001MeanDecodingIntensity_750:967.26;2001ReflectiveIntensity:13363.28;2001ReflectiveIntensityStdDev:514.146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11.07;Empties488F1MeanIntensity:67.67;Empties577F1IntensityStdDev:27.41;Empties577F1MeanIntensity:358.65;Empties577F2IntensityStdDev:28.44;Empties577F2MeanIntensity:357.21;Empties647F1IntensityStdDev:4.17;Empties647F1MeanIntensity:31.56;Empties700F1IntensityStdDev:4.06;Empties700F1MeanIntensity:29.31;Empties750F1IntensityStdDev:4.84;Empties750F1MeanIntensity:33.62;EmptiesIGrowth:306.91;EmptiesReflectiveIntensityStdDev:315.08;EmptiesReflectiveMeanIntensity:12113.45;Errors:;F2minusF1Shift:0.3;FluorescenceClassification:Normal;Focus_FracImageLost:0.00;FocusScoresAvg:3.41;FocusScoresImageCenter:4.50;FocusScoresMax:5.02;FocusScoresMedian:3.34;FractionImageDebris:0.0256;FractionWellsDebris:0.0303;ImageQualityScoreIfUnpegged:0.60;IndexingWellsMissingFromFov:0;IndexingWellsTotalLostBothVisibleAndMissing:0;IndexingWellsVisibleInFovButRemoved:0;L1DR time (ms):27914;NetBeadFillRate:26.55;NormalizedFillPercentage:037.77;Notes:Xtalk: usable out of spec wv 577 sr 5 dir 5 value 0.036. | Xtalk: usable out of spec wv 488 sr 4 dir 5 value 0.038. | Xtalk: usable out of spec wv 488 sr 8 dir 5 value 0.036.;NumberDecSaturated:0;NumberEmpties:73037;NumberFlagged_DeadPixels:78.0000;NumberFlagged_Debris:5831.0000;NumberFlagged_MissingNeighbor:2709.0000;NumberFlagged_OutOfBounds:4218.0000;NumberFlagged_OutOfSpecXtalk:15853.0000;NumberInvalidWells:25570;NumberPositiveEmpties:12;NumberPositives:1873;NumberResSaturated:0;NumberSaturatedWithoutDebris:0;NumberValidUnclassified:49609.00;NumberValidWells:166981;OddlyAggregatedFlag:2;OddlyAggregatedLocations:;OddlyAggregatedWorst:0;OffsetW488:( 0, 0 );OffsetW577:( 0, 0 );OffsetW647:( 0, 0 );OffsetW700:( 0, 0 );OffsetW750:( 0, -1 );ResorufinUnsaturated:0;ResorufinUnsaturatedMutated:0;ResorufinUnsaturaterNumberInFit:25;SaturatedDecodingWells:0;SuspiciousWells:27493;SuspiciousWellsFlagged:1;SuspiciousWellsLowerThreshold:4;Warnings:Xtalk: unusable out of spec wv 577 sr 8 dir 5 value 0.050.;WhiteLightChannelMedian:9974;XtalkSubregionsOutOfSpec:1</t>
  </si>
  <si>
    <t>0002_DecodingIntensityStdDev_577F1:37.071;0002_DecodingIntensityStdDev_577F2:71.974;0002_MeanDecodingIntensity_577F1:407.38;0002_MeanDecodingIntensity_577F2:414.74;0002AEB:00.0321;0002DecodingIntensityStdDev:350.130;0002DecodingIntensityStdDev_488:350.130;0002DecodingIntensityStdDev_647:4.692;0002DecodingIntensityStdDev_700:4.669;0002DecodingIntensityStdDev_750:5.702;0002F_on:0.0316;0002FillPercent:014.28;0002KineticInconsistentLower:0;0002KineticInconsistentMetadata:-523.816082298711|2.36;0002MeanDecodingIntensity:1615.50;0002MeanDecodingIntensity_488:1615.50;0002MeanDecodingIntensity_647:34.44;0002MeanDecodingIntensity_700:30.18;0002MeanDecodingIntensity_750:34.60;0002ReflectiveIntensity:13132.42;0002ReflectiveIntensityStdDev:622.758;0002SealTimeEstimate:20.1;0021_DecodingIntensityStdDev_577F1:32.153;0021_DecodingIntensityStdDev_577F2:62.068;0021_MeanDecodingIntensity_577F1:399.49;0021_MeanDecodingIntensity_577F2:403.95;0021AEB:00.0147;0021DecodingIntensityStdDev:81.055;0021DecodingIntensityStdDev_488:21.271;0021DecodingIntensityStdDev_647:81.055;0021DecodingIntensityStdDev_700:9.663;0021DecodingIntensityStdDev_750:5.907;0021F_on:0.0146;0021FillPercent:008.59;0021KineticInconsistentLower:0;0021KineticInconsistentMetadata:-527.761662137273|2.38;0021MeanDecodingIntensity:425.21;0021MeanDecodingIntensity_488:135.43;0021MeanDecodingIntensity_647:425.21;0021MeanDecodingIntensity_700:69.20;0021MeanDecodingIntensity_750:34.80;0021ReflectiveIntensity:12894.37;0021ReflectiveIntensityStdDev:516.694;0021SealTimeEstimate:19.8;0201_DecodingIntensityStdDev_577F1:35.734;0201_DecodingIntensityStdDev_577F2:70.035;0201_MeanDecodingIntensity_577F1:399.77;0201_MeanDecodingIntensity_577F2:405.43;0201AEB:00.0195;0201DecodingIntensityStdDev:108.169;0201DecodingIntensityStdDev_488:23.516;0201DecodingIntensityStdDev_647:16.596;0201DecodingIntensityStdDev_700:108.169;0201DecodingIntensityStdDev_750:10.020;0201F_on:0.0193;0201FillPercent:009.91;0201KineticInconsistentLower:0;0201KineticInconsistentMetadata:-510.902370350801|2.34;0201MeanDecodingIntensity:506.12;0201MeanDecodingIntensity_488:137.77;0201MeanDecodingIntensity_647:96.66;0201MeanDecodingIntensity_700:506.12;0201MeanDecodingIntensity_750:63.72;0201ReflectiveIntensity:12921.05;0201ReflectiveIntensityStdDev:536.723;0201SealTimeEstimate:20.4;2001_DecodingIntensityStdDev_577F1:37.681;2001_DecodingIntensityStdDev_577F2:70.222;2001_MeanDecodingIntensity_577F1:430.77;2001_MeanDecodingIntensity_577F2:436.20;2001AEB:00.0195;2001DecodingIntensityStdDev:212.615;2001DecodingIntensityStdDev_488:23.985;2001DecodingIntensityStdDev_647:5.215;2001DecodingIntensityStdDev_700:5.337;2001DecodingIntensityStdDev_750:212.615;2001F_on:0.0193;2001FillPercent:009.39;2001KineticInconsistentLower:0;2001KineticInconsistentMetadata:-576.029393491375|2.4;2001MeanDecodingIntensity:949.02;2001MeanDecodingIntensity_488:137.70;2001MeanDecodingIntensity_647:37.61;2001MeanDecodingIntensity_700:34.10;2001MeanDecodingIntensity_750:949.02;2001ReflectiveIntensity:12926.89;2001ReflectiveIntensityStdDev:561.305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11.64;Empties488F1MeanIntensity:67.02;Empties577F1IntensityStdDev:16.92;Empties577F1MeanIntensity:372.04;Empties577F2IntensityStdDev:18.12;Empties577F2MeanIntensity:369.38;Empties647F1IntensityStdDev:4.15;Empties647F1MeanIntensity:31.24;Empties700F1IntensityStdDev:4.16;Empties700F1MeanIntensity:29.27;Empties750F1IntensityStdDev:4.94;Empties750F1MeanIntensity:33.46;EmptiesIGrowth:219.91;EmptiesReflectiveIntensityStdDev:351.99;EmptiesReflectiveMeanIntensity:11718.97;Errors:;F2minusF1Shift:0.6;FluorescenceClassification:Normal;Focus_FracImageLost:0.00;FocusScoresAvg:3.21;FocusScoresImageCenter:3.88;FocusScoresMax:4.81;FocusScoresMedian:3.20;FractionImageDebris:0.0778;FractionWellsDebris:0.0844;ImageQualityScoreIfUnpegged:1.00;IndexingWellsMissingFromFov:0;IndexingWellsTotalLostBothVisibleAndMissing:0;IndexingWellsVisibleInFovButRemoved:0;L1DR time (ms):27715;NetBeadFillRate:29.62;NormalizedFillPercentage:042.17;Notes:;NumberDecSaturated:2;NumberEmpties:69806;NumberFlagged_DeadPixels:69.0000;NumberFlagged_Debris:16261.0000;NumberFlagged_MissingNeighbor:2781.0000;NumberFlagged_NeighborSaturated:12.0000;NumberFlagged_OddlyRecurrentClassification:695.0000;NumberFlagged_OutOfBounds:4145.0000;NumberFlagged_SaturatedPixelDecodingFour:02.0000;NumberInvalidWells:20742;NumberPositiveEmpties:5;NumberPositives:2322;NumberResSaturated:0;NumberSaturatedWithoutDebris:2;NumberValidUnclassified:51160.00;NumberValidWells:171869;OddlyAggregatedFlag:2;OddlyAggregatedLocations:;OddlyAggregatedWorst:0;OffsetW488:( 0, 0 );OffsetW577:( 0, 0 );OffsetW647:( 0, 0 );OffsetW700:( 0, 0 );OffsetW750:( 0, -1 );ResorufinUnsaturated:0;ResorufinUnsaturatedMutated:0;ResorufinUnsaturaterNumberInFit:24;SaturatedDecodingWells:2;SuspiciousWells:26717;SuspiciousWellsFlagged:1;SuspiciousWellsLowerThreshold:4;Warnings:;WhiteLightChannelMedian:9865;XtalkSubregionsOutOfSpec:0</t>
  </si>
  <si>
    <t>0002_DecodingIntensityStdDev_577F1:40.008;0002_DecodingIntensityStdDev_577F2:75.197;0002_MeanDecodingIntensity_577F1:410.57;0002_MeanDecodingIntensity_577F2:418.42;0002AEB:00.0327;0002DecodingIntensityStdDev:356.592;0002DecodingIntensityStdDev_488:356.592;0002DecodingIntensityStdDev_647:4.887;0002DecodingIntensityStdDev_700:4.854;0002DecodingIntensityStdDev_750:6.282;0002F_on:0.0322;0002FillPercent:014.31;0002KineticInconsistentLower:0;0002KineticInconsistentMetadata:-499.158516431735|2.32;0002MeanDecodingIntensity:1646.89;0002MeanDecodingIntensity_488:1646.89;0002MeanDecodingIntensity_647:34.68;0002MeanDecodingIntensity_700:30.55;0002MeanDecodingIntensity_750:35.32;0002ReflectiveIntensity:13214.53;0002ReflectiveIntensityStdDev:644.303;0002SealTimeEstimate:20.8;0021_DecodingIntensityStdDev_577F1:38.292;0021_DecodingIntensityStdDev_577F2:72.148;0021_MeanDecodingIntensity_577F1:402.88;0021_MeanDecodingIntensity_577F2:408.15;0021AEB:00.0160;0021DecodingIntensityStdDev:82.999;0021DecodingIntensityStdDev_488:23.149;0021DecodingIntensityStdDev_647:82.999;0021DecodingIntensityStdDev_700:10.012;0021DecodingIntensityStdDev_750:6.456;0021F_on:0.0159;0021FillPercent:008.73;0021KineticInconsistentLower:0;0021KineticInconsistentMetadata:-541.896813164393|2.41;0021MeanDecodingIntensity:424.40;0021MeanDecodingIntensity_488:141.29;0021MeanDecodingIntensity_647:424.40;0021MeanDecodingIntensity_700:69.59;0021MeanDecodingIntensity_750:35.43;0021ReflectiveIntensity:12980.48;0021ReflectiveIntensityStdDev:551.746;0021SealTimeEstimate:19.4;0201_DecodingIntensityStdDev_577F1:35.371;0201_DecodingIntensityStdDev_577F2:62.570;0201_MeanDecodingIntensity_577F1:402.60;0201_MeanDecodingIntensity_577F2:407.78;0201AEB:00.0171;0201DecodingIntensityStdDev:115.969;0201DecodingIntensityStdDev_488:28.757;0201DecodingIntensityStdDev_647:25.109;0201DecodingIntensityStdDev_700:115.969;0201DecodingIntensityStdDev_750:11.592;0201F_on:0.0169;0201FillPercent:010.23;0201KineticInconsistentLower:0;0201KineticInconsistentMetadata:-501.432258797983|2.33;0201MeanDecodingIntensity:512.24;0201MeanDecodingIntensity_488:143.95;0201MeanDecodingIntensity_647:98.94;0201MeanDecodingIntensity_700:512.24;0201MeanDecodingIntensity_750:65.32;0201ReflectiveIntensity:13032.50;0201ReflectiveIntensityStdDev:584.144;0201SealTimeEstimate:20.6;2001_DecodingIntensityStdDev_577F1:39.783;2001_DecodingIntensityStdDev_577F2:68.346;2001_MeanDecodingIntensity_577F1:432.61;2001_MeanDecodingIntensity_577F2:437.64;2001AEB:00.0169;2001DecodingIntensityStdDev:215.515;2001DecodingIntensityStdDev_488:26.238;2001DecodingIntensityStdDev_647:5.374;2001DecodingIntensityStdDev_700:5.715;2001DecodingIntensityStdDev_750:215.515;2001F_on:0.0168;2001FillPercent:009.80;2001KineticInconsistentLower:0;2001KineticInconsistentMetadata:-541.933229510309|2.33;2001MeanDecodingIntensity:936.32;2001MeanDecodingIntensity_488:143.26;2001MeanDecodingIntensity_647:37.81;2001MeanDecodingIntensity_700:34.56;2001MeanDecodingIntensity_750:936.32;2001ReflectiveIntensity:13018.02;2001ReflectiveIntensityStdDev:595.613;2001SealTimeEstimate:20.6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13.37;Empties488F1MeanIntensity:71.26;Empties577F1IntensityStdDev:23.25;Empties577F1MeanIntensity:372.68;Empties577F2IntensityStdDev:25.53;Empties577F2MeanIntensity:370.05;Empties647F1IntensityStdDev:4.37;Empties647F1MeanIntensity:31.53;Empties700F1IntensityStdDev:4.50;Empties700F1MeanIntensity:29.72;Empties750F1IntensityStdDev:5.50;Empties750F1MeanIntensity:34.14;EmptiesIGrowth:349.90;EmptiesReflectiveIntensityStdDev:375.82;EmptiesReflectiveMeanIntensity:11741.56;Errors:;F2minusF1Shift:0.0;FluorescenceClassification:Normal;Focus_FracImageLost:0.00;FocusScoresAvg:3.24;FocusScoresImageCenter:4.07;FocusScoresMax:5.07;FocusScoresMedian:3.17;FractionImageDebris:0.0622;FractionWellsDebris:0.0696;ImageQualityScoreIfUnpegged:1.00;IndexingWellsMissingFromFov:0;IndexingWellsTotalLostBothVisibleAndMissing:0;IndexingWellsVisibleInFovButRemoved:0;L1DR time (ms):29727;NetBeadFillRate:30.24;NormalizedFillPercentage:043.08;Notes:Xtalk: usable out of spec wv 577 sr 8 dir 5 value 0.043.;NumberDecSaturated:0;NumberEmpties:69661;NumberFlagged_DeadPixels:78.0000;NumberFlagged_Debris:13410.0000;NumberFlagged_MissingNeighbor:3058.0000;NumberFlagged_OutOfBounds:4181.0000;NumberInvalidWells:18305;NumberPositiveEmpties:11;NumberPositives:2289;NumberResSaturated:0;NumberSaturatedWithoutDebris:0;NumberValidUnclassified:51939.00;NumberValidWells:174317;OddlyAggregatedFlag:2;OddlyAggregatedLocations:;OddlyAggregatedWorst:0;OffsetW488:( 0, 0 );OffsetW577:( 0, 0 );OffsetW647:( 0, 0 );OffsetW700:( 0, 0 );OffsetW750:( 0, 0 );ResorufinUnsaturated:0;ResorufinUnsaturatedMutated:0;ResorufinUnsaturaterNumberInFit:12;SaturatedDecodingWells:0;SuspiciousWells:21303;SuspiciousWellsFlagged:1;SuspiciousWellsLowerThreshold:5;Warnings:;WhiteLightChannelMedian:9974;XtalkSubregionsOutOfSpec:0</t>
  </si>
  <si>
    <t>high-1-4-6</t>
  </si>
  <si>
    <t>Plate 1 - Well A11</t>
  </si>
  <si>
    <t>0002_DecodingIntensityStdDev_577F1:50.179;0002_DecodingIntensityStdDev_577F2:101.111;0002_MeanDecodingIntensity_577F1:437.82;0002_MeanDecodingIntensity_577F2:486.54;0002AEB:00.4087;0002DecodingIntensityStdDev:359.659;0002DecodingIntensityStdDev_488:359.659;0002DecodingIntensityStdDev_647:4.851;0002DecodingIntensityStdDev_700:5.048;0002DecodingIntensityStdDev_750:5.824;0002F_on:0.3355;0002FillPercent:013.11;0002KineticInconsistentLower:0;0002KineticInconsistentMetadata:-405.91754107588|2.09;0002MeanDecodingIntensity:1588.44;0002MeanDecodingIntensity_488:1588.44;0002MeanDecodingIntensity_647:34.77;0002MeanDecodingIntensity_700:30.10;0002MeanDecodingIntensity_750:34.85;0002ReflectiveIntensity:13111.59;0002ReflectiveIntensityStdDev:598.580;0002SealTimeEstimate:25.4;0021_DecodingIntensityStdDev_577F1:45.455;0021_DecodingIntensityStdDev_577F2:93.212;0021_MeanDecodingIntensity_577F1:434.55;0021_MeanDecodingIntensity_577F2:486.23;0021AEB:00.1910;0021DecodingIntensityStdDev:86.266;0021DecodingIntensityStdDev_488:22.163;0021DecodingIntensityStdDev_647:86.266;0021DecodingIntensityStdDev_700:9.650;0021DecodingIntensityStdDev_750:5.917;0021F_on:0.1739;0021FillPercent:007.76;0021KineticInconsistentLower:0;0021KineticInconsistentMetadata:-420.105252486571|2.14;0021MeanDecodingIntensity:422.15;0021MeanDecodingIntensity_488:135.25;0021MeanDecodingIntensity_647:422.15;0021MeanDecodingIntensity_700:68.66;0021MeanDecodingIntensity_750:34.87;0021ReflectiveIntensity:12873.29;0021ReflectiveIntensityStdDev:508.679;0021SealTimeEstimate:24.2;0201_DecodingIntensityStdDev_577F1:48.599;0201_DecodingIntensityStdDev_577F2:100.109;0201_MeanDecodingIntensity_577F1:433.08;0201_MeanDecodingIntensity_577F2:483.57;0201AEB:00.3231;0201DecodingIntensityStdDev:104.396;0201DecodingIntensityStdDev_488:23.647;0201DecodingIntensityStdDev_647:15.155;0201DecodingIntensityStdDev_700:104.396;0201DecodingIntensityStdDev_750:9.807;0201F_on:0.2761;0201FillPercent:008.71;0201KineticInconsistentLower:0;0201KineticInconsistentMetadata:-403.055681265736|2.1;0201MeanDecodingIntensity:500.97;0201MeanDecodingIntensity_488:137.05;0201MeanDecodingIntensity_647:97.68;0201MeanDecodingIntensity_700:500.97;0201MeanDecodingIntensity_750:64.75;0201ReflectiveIntensity:12892.41;0201ReflectiveIntensityStdDev:525.756;0201SealTimeEstimate:25.1;2001_DecodingIntensityStdDev_577F1:53.196;2001_DecodingIntensityStdDev_577F2:108.216;2001_MeanDecodingIntensity_577F1:463.35;2001_MeanDecodingIntensity_577F2:514.16;2001AEB:00.4596;2001DecodingIntensityStdDev:207.914;2001DecodingIntensityStdDev_488:23.522;2001DecodingIntensityStdDev_647:5.266;2001DecodingIntensityStdDev_700:5.197;2001DecodingIntensityStdDev_750:207.914;2001F_on:0.3685;2001FillPercent:008.42;2001KineticInconsistentLower:0;2001KineticInconsistentMetadata:-393.060703133729|2.01;2001MeanDecodingIntensity:971.83;2001MeanDecodingIntensity_488:136.85;2001MeanDecodingIntensity_647:37.81;2001MeanDecodingIntensity_700:34.18;2001MeanDecodingIntensity_750:971.83;2001ReflectiveIntensity:12897.28;2001ReflectiveIntensityStdDev:535.108;2001SealTimeEstimate:27.5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12.09;Empties488F1MeanIntensity:65.57;Empties577F1IntensityStdDev:16.54;Empties577F1MeanIntensity:370.10;Empties577F2IntensityStdDev:18.47;Empties577F2MeanIntensity:369.51;Empties647F1IntensityStdDev:4.34;Empties647F1MeanIntensity:31.61;Empties700F1IntensityStdDev:4.26;Empties700F1MeanIntensity:29.38;Empties750F1IntensityStdDev:5.14;Empties750F1MeanIntensity:33.66;EmptiesIGrowth:98.00;EmptiesReflectiveIntensityStdDev:314.05;EmptiesReflectiveMeanIntensity:11683.77;Errors:;F2minusF1Shift:-5.6;FluorescenceClassification:Normal;Focus_FracImageLost:0.00;FocusScoresAvg:2.99;FocusScoresImageCenter:4.38;FocusScoresMax:5.04;FocusScoresMedian:2.96;FractionImageDebris:0.0781;FractionWellsDebris:0.0868;ImageQualityScoreIfUnpegged:1.00;IndexingWellsMissingFromFov:0;IndexingWellsTotalLostBothVisibleAndMissing:0;IndexingWellsVisibleInFovButRemoved:0;L1DR time (ms):29488;NetBeadFillRate:26.69;NormalizedFillPercentage:037.99;Notes:Xtalk: usable out of spec wv 577 sr 10 dir 4 value 0.036. | Xtalk: usable out of spec wv 488 sr 4 dir 5 value 0.036.;NumberDecSaturated:0;NumberEmpties:74697;NumberFlagged_DeadPixels:79.0000;NumberFlagged_Debris:16735.0000;NumberFlagged_MissingNeighbor:2573.0000;NumberFlagged_OddlyRecurrentClassification:2887.0000;NumberFlagged_OutOfBounds:4083.0000;NumberInvalidWells:21268;NumberPositiveEmpties:68;NumberPositives:33273;NumberResSaturated:0;NumberSaturatedWithoutDebris:0;NumberValidUnclassified:51018.00;NumberValidWells:171476;OddlyAggregatedFlag:2;OddlyAggregatedLocations:;OddlyAggregatedWorst:0;OffsetW488:( 0, -1 );OffsetW577:( 0, 0 );OffsetW647:( 0, 0 );OffsetW700:( 0, -1 );OffsetW750:( 0, -1 );ResorufinUnsaturated:0;ResorufinUnsaturatedMutated:0;ResorufinUnsaturaterNumberInFit:62;SaturatedDecodingWells:0;SuspiciousWells:22884;SuspiciousWellsFlagged:1;SuspiciousWellsLowerThreshold:4;Warnings:;WhiteLightChannelMedian:9909;XtalkSubregionsOutOfSpec:0</t>
  </si>
  <si>
    <t>0002_DecodingIntensityStdDev_577F1:56.427;0002_DecodingIntensityStdDev_577F2:114.729;0002_MeanDecodingIntensity_577F1:441.77;0002_MeanDecodingIntensity_577F2:490.18;0002AEB:00.4210;0002DecodingIntensityStdDev:363.256;0002DecodingIntensityStdDev_488:363.256;0002DecodingIntensityStdDev_647:5.298;0002DecodingIntensityStdDev_700:5.314;0002DecodingIntensityStdDev_750:6.816;0002F_on:0.3436;0002FillPercent:016.49;0002KineticInconsistentLower:0;0002KineticInconsistentMetadata:-420.364078630838|2.11;0002MeanDecodingIntensity:1573.62;0002MeanDecodingIntensity_488:1573.62;0002MeanDecodingIntensity_647:35.16;0002MeanDecodingIntensity_700:30.78;0002MeanDecodingIntensity_750:36.02;0002ReflectiveIntensity:13170.26;0002ReflectiveIntensityStdDev:622.669;0002SealTimeEstimate:24.9;0021_DecodingIntensityStdDev_577F1:48.359;0021_DecodingIntensityStdDev_577F2:99.472;0021_MeanDecodingIntensity_577F1:437.58;0021_MeanDecodingIntensity_577F2:488.26;0021AEB:00.4177;0021DecodingIntensityStdDev:89.915;0021DecodingIntensityStdDev_488:24.447;0021DecodingIntensityStdDev_647:89.915;0021DecodingIntensityStdDev_700:10.821;0021DecodingIntensityStdDev_750:7.040;0021F_on:0.3414;0021FillPercent:010.00;0021KineticInconsistentLower:0;0021KineticInconsistentMetadata:-406.10619975311|2.09;0021MeanDecodingIntensity:420.59;0021MeanDecodingIntensity_488:141.42;0021MeanDecodingIntensity_647:420.59;0021MeanDecodingIntensity_700:69.48;0021MeanDecodingIntensity_750:36.11;0021ReflectiveIntensity:12947.97;0021ReflectiveIntensityStdDev:525.233;0021SealTimeEstimate:25.4;0201_DecodingIntensityStdDev_577F1:51.791;0201_DecodingIntensityStdDev_577F2:105.539;0201_MeanDecodingIntensity_577F1:437.73;0201_MeanDecodingIntensity_577F2:488.06;0201AEB:00.4137;0201DecodingIntensityStdDev:130.788;0201DecodingIntensityStdDev_488:28.955;0201DecodingIntensityStdDev_647:27.537;0201DecodingIntensityStdDev_700:130.788;0201DecodingIntensityStdDev_750:12.372;0201F_on:0.3388;0201FillPercent:011.80;0201KineticInconsistentLower:0;0201KineticInconsistentMetadata:-383.613296394133|2.04;0201MeanDecodingIntensity:501.09;0201MeanDecodingIntensity_488:144.80;0201MeanDecodingIntensity_647:100.47;0201MeanDecodingIntensity_700:501.09;0201MeanDecodingIntensity_750:66.38;0201ReflectiveIntensity:13012.80;0201ReflectiveIntensityStdDev:577.890;0201SealTimeEstimate:26.7;2001_DecodingIntensityStdDev_577F1:49.336;2001_DecodingIntensityStdDev_577F2:97.669;2001_MeanDecodingIntensity_577F1:467.42;2001_MeanDecodingIntensity_577F2:517.19;2001AEB:00.5092;2001DecodingIntensityStdDev:248.393;2001DecodingIntensityStdDev_488:28.582;2001DecodingIntensityStdDev_647:6.336;2001DecodingIntensityStdDev_700:6.490;2001DecodingIntensityStdDev_750:248.393;2001F_on:0.3990;2001FillPercent:011.07;2001KineticInconsistentLower:0;2001KineticInconsistentMetadata:-390.488404923637|1.99;2001MeanDecodingIntensity:985.68;2001MeanDecodingIntensity_488:143.92;2001MeanDecodingIntensity_647:38.46;2001MeanDecodingIntensity_700:35.18;2001MeanDecodingIntensity_750:985.68;2001ReflectiveIntensity:12994.03;2001ReflectiveIntensityStdDev:571.335;2001SealTimeEstimate:28.1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13.20;Empties488F1MeanIntensity:69.27;Empties577F1IntensityStdDev:24.16;Empties577F1MeanIntensity:373.22;Empties577F2IntensityStdDev:42.29;Empties577F2MeanIntensity:373.65;Empties647F1IntensityStdDev:4.66;Empties647F1MeanIntensity:31.68;Empties700F1IntensityStdDev:4.76;Empties700F1MeanIntensity:29.76;Empties750F1IntensityStdDev:5.80;Empties750F1MeanIntensity:34.46;EmptiesIGrowth:293.53;EmptiesReflectiveIntensityStdDev:342.00;EmptiesReflectiveMeanIntensity:11737.06;Errors:;F2minusF1Shift:-5.0;FluorescenceClassification:Normal;Focus_FracImageLost:0.00;FocusScoresAvg:3.28;FocusScoresImageCenter:4.38;FocusScoresMax:5.12;FocusScoresMedian:3.25;FractionImageDebris:0.0840;FractionWellsDebris:0.0951;ImageQualityScoreIfUnpegged:1.00;IndexingWellsMissingFromFov:0;IndexingWellsTotalLostBothVisibleAndMissing:0;IndexingWellsVisibleInFovButRemoved:0;L1DR time (ms):29668;NetBeadFillRate:34.62;NormalizedFillPercentage:049.36;Notes:;NumberDecSaturated:1;NumberEmpties:58446;NumberFlagged_DeadPixels:69.0000;NumberFlagged_Debris:18298.0000;NumberFlagged_MissingNeighbor:3654.0000;NumberFlagged_NeighborSaturated:06.0000;NumberFlagged_OddlyRecurrentClassification:7998.0000;NumberFlagged_OutOfBounds:4133.0000;NumberFlagged_SaturatedPixelDecodingFour:01.0000;NumberInvalidWells:27941;NumberPositiveEmpties:111;NumberPositives:47574;NumberResSaturated:0;NumberSaturatedWithoutDebris:1;NumberValidUnclassified:49134.00;NumberValidWells:164543;OddlyAggregatedFlag:2;OddlyAggregatedLocations:;OddlyAggregatedWorst:0;OffsetW488:( 0, -1 );OffsetW577:( 0, 0 );OffsetW647:( 0, 0 );OffsetW700:( 0, -1 );OffsetW750:( 0, -1 );ResorufinUnsaturated:0;ResorufinUnsaturatedMutated:0;ResorufinUnsaturaterNumberInFit:99;SaturatedDecodingWells:1;SuspiciousWells:26875;SuspiciousWellsFlagged:1;SuspiciousWellsLowerThreshold:5;Warnings:;WhiteLightChannelMedian:9996;XtalkSubregionsOutOfSpec:0</t>
  </si>
  <si>
    <t>0002_DecodingIntensityStdDev_577F1:52.865;0002_DecodingIntensityStdDev_577F2:104.763;0002_MeanDecodingIntensity_577F1:441.74;0002_MeanDecodingIntensity_577F2:491.07;0002AEB:00.5318;0002DecodingIntensityStdDev:359.544;0002DecodingIntensityStdDev_488:359.544;0002DecodingIntensityStdDev_647:4.835;0002DecodingIntensityStdDev_700:4.759;0002DecodingIntensityStdDev_750:6.110;0002F_on:0.4125;0002FillPercent:013.16;0002KineticInconsistentLower:0;0002KineticInconsistentMetadata:-383.012709182466|2.03;0002MeanDecodingIntensity:1623.37;0002MeanDecodingIntensity_488:1623.37;0002MeanDecodingIntensity_647:34.85;0002MeanDecodingIntensity_700:30.22;0002MeanDecodingIntensity_750:35.06;0002ReflectiveIntensity:12990.93;0002ReflectiveIntensityStdDev:619.005;0002SealTimeEstimate:26.9;0021_DecodingIntensityStdDev_577F1:49.175;0021_DecodingIntensityStdDev_577F2:101.060;0021_MeanDecodingIntensity_577F1:439.33;0021_MeanDecodingIntensity_577F2:493.49;0021AEB:00.2075;0021DecodingIntensityStdDev:82.682;0021DecodingIntensityStdDev_488:21.328;0021DecodingIntensityStdDev_647:82.682;0021DecodingIntensityStdDev_700:9.612;0021DecodingIntensityStdDev_750:6.162;0021F_on:0.1874;0021FillPercent:008.05;0021KineticInconsistentLower:0;0021KineticInconsistentMetadata:-432.975482015505|2.16;0021MeanDecodingIntensity:421.80;0021MeanDecodingIntensity_488:140.61;0021MeanDecodingIntensity_647:421.80;0021MeanDecodingIntensity_700:68.79;0021MeanDecodingIntensity_750:35.00;0021ReflectiveIntensity:12747.92;0021ReflectiveIntensityStdDev:509.698;0021SealTimeEstimate:23.8;0201_DecodingIntensityStdDev_577F1:56.212;0201_DecodingIntensityStdDev_577F2:116.384;0201_MeanDecodingIntensity_577F1:438.58;0201_MeanDecodingIntensity_577F2:491.73;0201AEB:00.2138;0201DecodingIntensityStdDev:114.109;0201DecodingIntensityStdDev_488:25.673;0201DecodingIntensityStdDev_647:19.668;0201DecodingIntensityStdDev_700:114.109;0201DecodingIntensityStdDev_750:10.871;0201F_on:0.1925;0201FillPercent:009.01;0201KineticInconsistentLower:0;0201KineticInconsistentMetadata:-400.892279056928|2.09;0201MeanDecodingIntensity:497.73;0201MeanDecodingIntensity_488:143.14;0201MeanDecodingIntensity_647:96.50;0201MeanDecodingIntensity_700:497.73;0201MeanDecodingIntensity_750:64.14;0201ReflectiveIntensity:12794.28;0201ReflectiveIntensityStdDev:541.231;0201SealTimeEstimate:25.4;2001_DecodingIntensityStdDev_577F1:59.087;2001_DecodingIntensityStdDev_577F2:117.909;2001_MeanDecodingIntensity_577F1:467.95;2001_MeanDecodingIntensity_577F2:519.22;2001AEB:00.3850;2001DecodingIntensityStdDev:215.645;2001DecodingIntensityStdDev_488:24.028;2001DecodingIntensityStdDev_647:5.532;2001DecodingIntensityStdDev_700:5.603;2001DecodingIntensityStdDev_750:215.645;2001F_on:0.3196;2001FillPercent:008.64;2001KineticInconsistentLower:0;2001KineticInconsistentMetadata:-385.358501853023|1.99;2001MeanDecodingIntensity:957.28;2001MeanDecodingIntensity_488:142.71;2001MeanDecodingIntensity_647:38.07;2001MeanDecodingIntensity_700:34.25;2001MeanDecodingIntensity_750:957.28;2001ReflectiveIntensity:12791.40;2001ReflectiveIntensityStdDev:540.555;2001SealTimeEstimate:28.1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11.84;Empties488F1MeanIntensity:71.46;Empties577F1IntensityStdDev:15.98;Empties577F1MeanIntensity:371.71;Empties577F2IntensityStdDev:17.89;Empties577F2MeanIntensity:370.87;Empties647F1IntensityStdDev:4.25;Empties647F1MeanIntensity:31.56;Empties700F1IntensityStdDev:4.11;Empties700F1MeanIntensity:29.39;Empties750F1IntensityStdDev:5.04;Empties750F1MeanIntensity:33.80;EmptiesIGrowth:83.83;EmptiesReflectiveIntensityStdDev:315.69;EmptiesReflectiveMeanIntensity:11531.80;Errors:;F2minusF1Shift:-6.4;FluorescenceClassification:Normal;Focus_FracImageLost:0.00;FocusScoresAvg:3.07;FocusScoresImageCenter:3.52;FocusScoresMax:4.51;FocusScoresMedian:2.98;FractionImageDebris:0.1789;FractionWellsDebris:0.1867;ImageQualityScoreIfUnpegged:1.00;IndexingWellsMissingFromFov:0;IndexingWellsTotalLostBothVisibleAndMissing:0;IndexingWellsVisibleInFovButRemoved:0;L1DR time (ms):28629;NetBeadFillRate:27.29;NormalizedFillPercentage:038.87;Notes:;NumberDecSaturated:0;NumberEmpties:64817;NumberFlagged_DeadPixels:72.0000;NumberFlagged_Debris:36001.0000;NumberFlagged_MissingNeighbor:2734.0000;NumberFlagged_NeighborSaturated:12.0000;NumberFlagged_OddlyRecurrentClassification:5394.0000;NumberFlagged_OutOfBounds:4207.0000;NumberFlagged_SaturatedPixelResorufinTwo:03.0000;NumberInvalidWells:41832;NumberPositiveEmpties:63;NumberPositives:36020;NumberResSaturated:3;NumberSaturatedWithoutDebris:0;NumberValidUnclassified:44975.00;NumberValidWells:150998;OddlyAggregatedFlag:2;OddlyAggregatedLocations:;OddlyAggregatedWorst:0;OffsetW488:( 0, 0 );OffsetW577:( 0, 0 );OffsetW647:( 0, 1 );OffsetW700:( 0, 0 );OffsetW750:( 0, 0 );ResorufinUnsaturated:0;ResorufinUnsaturatedMutated:0;ResorufinUnsaturaterNumberInFit:70;SaturatedDecodingWells:0;SuspiciousWells:25879;SuspiciousWellsFlagged:1;SuspiciousWellsLowerThreshold:4;Warnings:;WhiteLightChannelMedian:9833;XtalkSubregionsOutOfSpec:0</t>
  </si>
  <si>
    <t>high-1-4-5</t>
  </si>
  <si>
    <t>Plate 1 - Well B11</t>
  </si>
  <si>
    <t>0002_DecodingIntensityStdDev_577F1:97.505;0002_DecodingIntensityStdDev_577F2:195.891;0002_MeanDecodingIntensity_577F1:556.98;0002_MeanDecodingIntensity_577F2:745.49;0002AEB:-;0002DecodingIntensityStdDev:369.318;0002DecodingIntensityStdDev_488:369.318;0002DecodingIntensityStdDev_647:4.888;0002DecodingIntensityStdDev_700:4.854;0002DecodingIntensityStdDev_750:6.132;0002F_on:0.9885;0002FillPercent:013.66;0002KineticInconsistentLower:0;0002KineticInconsistentMetadata:-447.902825019504|2.19;0002MeanDecodingIntensity:1632.45;0002MeanDecodingIntensity_488:1632.45;0002MeanDecodingIntensity_647:35.13;0002MeanDecodingIntensity_700:30.47;0002MeanDecodingIntensity_750:35.27;0002ReflectiveIntensity:13083.35;0002ReflectiveIntensityStdDev:590.046;0002SealTimeEstimate:23.1;0021_DecodingIntensityStdDev_577F1:102.167;0021_DecodingIntensityStdDev_577F2:210.306;0021_MeanDecodingIntensity_577F1:581.38;0021_MeanDecodingIntensity_577F2:807.19;0021AEB:-;0021DecodingIntensityStdDev:86.265;0021DecodingIntensityStdDev_488:22.701;0021DecodingIntensityStdDev_647:86.265;0021DecodingIntensityStdDev_700:10.134;0021DecodingIntensityStdDev_750:6.277;0021F_on:0.9978;0021FillPercent:008.23;0021KineticInconsistentLower:0;0021KineticInconsistentMetadata:-473.566087297363|2.25;0021MeanDecodingIntensity:424.57;0021MeanDecodingIntensity_488:144.06;0021MeanDecodingIntensity_647:424.57;0021MeanDecodingIntensity_700:69.40;0021MeanDecodingIntensity_750:35.21;0021ReflectiveIntensity:12837.39;0021ReflectiveIntensityStdDev:485.546;0021SealTimeEstimate:22.0;0201_DecodingIntensityStdDev_577F1:106.895;0201_DecodingIntensityStdDev_577F2:212.730;0201_MeanDecodingIntensity_577F1:577.14;0201_MeanDecodingIntensity_577F2:796.18;0201AEB:-;0201DecodingIntensityStdDev:111.356;0201DecodingIntensityStdDev_488:25.462;0201DecodingIntensityStdDev_647:16.093;0201DecodingIntensityStdDev_700:111.356;0201DecodingIntensityStdDev_750:11.193;0201F_on:0.9956;0201FillPercent:009.68;0201KineticInconsistentLower:0;0201KineticInconsistentMetadata:-462.668326215312|2.23;0201MeanDecodingIntensity:503.64;0201MeanDecodingIntensity_488:146.22;0201MeanDecodingIntensity_647:98.31;0201MeanDecodingIntensity_700:503.64;0201MeanDecodingIntensity_750:65.58;0201ReflectiveIntensity:12891.07;0201ReflectiveIntensityStdDev:514.422;0201SealTimeEstimate:22.4;2001_DecodingIntensityStdDev_577F1:104.782;2001_DecodingIntensityStdDev_577F2:214.058;2001_MeanDecodingIntensity_577F1:605.28;2001_MeanDecodingIntensity_577F2:823.40;2001AEB:-;2001DecodingIntensityStdDev:220.331;2001DecodingIntensityStdDev_488:25.073;2001DecodingIntensityStdDev_647:5.552;2001DecodingIntensityStdDev_700:5.709;2001DecodingIntensityStdDev_750:220.331;2001F_on:0.9963;2001FillPercent:009.16;2001KineticInconsistentLower:0;2001KineticInconsistentMetadata:-497.184210937607|2.23;2001MeanDecodingIntensity:966.71;2001MeanDecodingIntensity_488:146.43;2001MeanDecodingIntensity_647:38.46;2001MeanDecodingIntensity_700:34.56;2001MeanDecodingIntensity_750:966.71;2001ReflectiveIntensity:12883.53;2001ReflectiveIntensityStdDev:533.867;2001SealTimeEstimate:22.4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12.68;Empties488F1MeanIntensity:74.47;Empties577F1IntensityStdDev:40.67;Empties577F1MeanIntensity:375.93;Empties577F2IntensityStdDev:76.92;Empties577F2MeanIntensity:379.52;Empties647F1IntensityStdDev:4.47;Empties647F1MeanIntensity:31.83;Empties700F1IntensityStdDev:4.44;Empties700F1MeanIntensity:29.68;Empties750F1IntensityStdDev:5.42;Empties750F1MeanIntensity:34.15;EmptiesIGrowth:362.98;EmptiesReflectiveIntensityStdDev:302.02;EmptiesReflectiveMeanIntensity:11619.00;Errors:;F2minusF1Shift:-3.0;FittedF2OverF1Intercept:-498.361971248548;FittedF2OverF1Slope:2.06086454203289;FluorescenceClassification:Normal;Focus_FracImageLost:0.00;FocusScoresAvg:3.24;FocusScoresImageCenter:3.83;FocusScoresMax:4.75;FocusScoresMedian:3.18;FractionImageDebris:0.2482;FractionWellsDebris:0.2616;ImageQualityScoreIfUnpegged:0.60;IndexingWellsMissingFromFov:0;IndexingWellsTotalLostBothVisibleAndMissing:0;IndexingWellsVisibleInFovButRemoved:0;L1DR time (ms):26849;NetBeadFillRate:28.58;NormalizedFillPercentage:040.73;Notes:Xtalk: usable out of spec wv 577 sr 4 dir 5 value 0.043. | Xtalk: usable out of spec wv 577 sr 7 dir 3 value 0.041. | Xtalk: usable out of spec wv 577 sr 9 dir 5 value 0.036. | Xtalk: usable out of spec wv 577 sr 11 dir 3 value 0.048. | Xtalk: usable out of spec wv 488 sr 4 dir 5 value 0.036. | Xtalk: usable out of spec wv 488 sr 8 dir 5 value 0.036.;NumberDecSaturated:0;NumberEmpties:52369;NumberFlagged_DeadPixels:83.0000;NumberFlagged_Debris:50307.0000;NumberFlagged_MissingNeighbor:2794.0000;NumberFlagged_NeighborSaturated:48.0000;NumberFlagged_OddlyRecurrentClassification:16635.0000;NumberFlagged_OutOfBounds:3700.0000;NumberFlagged_OutOfSpecXtalk:15694.0000;NumberFlagged_SaturatedPixelResorufinTwo:08.0000;NumberFlagged_SaturationRemoverSuspiciousF1:06.0000;NumberInvalidWells:66405;NumberPositiveEmpties:186;NumberPositives:81922;NumberResSaturated:8;NumberSaturatedWithoutDebris:7;NumberValidUnclassified:37566.00;NumberValidWells:125924;OddlyAggregatedFlag:2;OddlyAggregatedLocations:;OddlyAggregatedWorst:0;OffsetW488:( 0, 0 );OffsetW577:( 0, 0 );OffsetW647:( 0, 0 );OffsetW700:( 0, 0 );OffsetW750:( 0, 0 );ResorufinUnsaturated:1;ResorufinUnsaturatedMutated:1;ResorufinUnsaturatedSuspiciousF1:6;ResorufinUnsaturaterNumberInFit:846;SaturatedDecodingWells:0;SuspiciousWells:21645;SuspiciousWellsFlagged:1;SuspiciousWellsLowerThreshold:5;Warnings:Xtalk: unusable out of spec wv 577 sr 8 dir 5 value 0.050.;WhiteLightChannelMedian:9801;XtalkSubregionsOutOfSpec:1</t>
  </si>
  <si>
    <t>0002_DecodingIntensityStdDev_577F1:101.274;0002_DecodingIntensityStdDev_577F2:203.683;0002_MeanDecodingIntensity_577F1:543.61;0002_MeanDecodingIntensity_577F2:721.37;0002AEB:-;0002DecodingIntensityStdDev:367.402;0002DecodingIntensityStdDev_488:367.402;0002DecodingIntensityStdDev_647:5.013;0002DecodingIntensityStdDev_700:4.823;0002DecodingIntensityStdDev_750:6.072;0002F_on:0.9877;0002FillPercent:013.78;0002KineticInconsistentLower:0;0002KineticInconsistentMetadata:-450.316792521391|2.2;0002MeanDecodingIntensity:1598.69;0002MeanDecodingIntensity_488:1598.69;0002MeanDecodingIntensity_647:35.03;0002MeanDecodingIntensity_700:30.39;0002MeanDecodingIntensity_750:35.12;0002ReflectiveIntensity:13047.75;0002ReflectiveIntensityStdDev:639.132;0002SealTimeEstimate:22.9;0021_DecodingIntensityStdDev_577F1:96.153;0021_DecodingIntensityStdDev_577F2:198.097;0021_MeanDecodingIntensity_577F1:565.81;0021_MeanDecodingIntensity_577F2:779.37;0021AEB:-;0021DecodingIntensityStdDev:84.564;0021DecodingIntensityStdDev_488:21.880;0021DecodingIntensityStdDev_647:84.564;0021DecodingIntensityStdDev_700:9.869;0021DecodingIntensityStdDev_750:6.148;0021F_on:0.9976;0021FillPercent:008.33;0021KineticInconsistentLower:0;0021KineticInconsistentMetadata:-468.594237161011|2.25;0021MeanDecodingIntensity:421.67;0021MeanDecodingIntensity_488:142.64;0021MeanDecodingIntensity_647:421.67;0021MeanDecodingIntensity_700:68.56;0021MeanDecodingIntensity_750:35.08;0021ReflectiveIntensity:12803.95;0021ReflectiveIntensityStdDev:537.025;0021SealTimeEstimate:22.0;0201_DecodingIntensityStdDev_577F1:110.777;0201_DecodingIntensityStdDev_577F2:225.525;0201_MeanDecodingIntensity_577F1:563.15;0201_MeanDecodingIntensity_577F2:771.72;0201AEB:-;0201DecodingIntensityStdDev:105.019;0201DecodingIntensityStdDev_488:25.050;0201DecodingIntensityStdDev_647:15.454;0201DecodingIntensityStdDev_700:105.019;0201DecodingIntensityStdDev_750:10.356;0201F_on:0.9965;0201FillPercent:009.61;0201KineticInconsistentLower:0;0201KineticInconsistentMetadata:-464.234624466843|2.24;0201MeanDecodingIntensity:492.50;0201MeanDecodingIntensity_488:145.28;0201MeanDecodingIntensity_647:97.97;0201MeanDecodingIntensity_700:492.50;0201MeanDecodingIntensity_750:64.71;0201ReflectiveIntensity:12850.55;0201ReflectiveIntensityStdDev:554.805;0201SealTimeEstimate:22.2;2001_DecodingIntensityStdDev_577F1:103.051;2001_DecodingIntensityStdDev_577F2:207.412;2001_MeanDecodingIntensity_577F1:590.72;2001_MeanDecodingIntensity_577F2:796.60;2001AEB:-;2001DecodingIntensityStdDev:215.967;2001DecodingIntensityStdDev_488:24.610;2001DecodingIntensityStdDev_647:5.425;2001DecodingIntensityStdDev_700:5.583;2001DecodingIntensityStdDev_750:215.967;2001F_on:0.9962;2001FillPercent:009.20;2001KineticInconsistentLower:0;2001KineticInconsistentMetadata:-499.772420329647|2.24;2001MeanDecodingIntensity:953.84;2001MeanDecodingIntensity_488:145.12;2001MeanDecodingIntensity_647:38.34;2001MeanDecodingIntensity_700:34.48;2001MeanDecodingIntensity_750:953.84;2001ReflectiveIntensity:12846.70;2001ReflectiveIntensityStdDev:562.066;2001SealTimeEstimate:22.2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12.80;Empties488F1MeanIntensity:74.25;Empties577F1IntensityStdDev:38.31;Empties577F1MeanIntensity:370.11;Empties577F2IntensityStdDev:72.03;Empties577F2MeanIntensity:372.47;Empties647F1IntensityStdDev:4.50;Empties647F1MeanIntensity:31.85;Empties700F1IntensityStdDev:4.47;Empties700F1MeanIntensity:29.76;Empties750F1IntensityStdDev:5.43;Empties750F1MeanIntensity:34.16;EmptiesIGrowth:327.85;EmptiesReflectiveIntensityStdDev:347.23;EmptiesReflectiveMeanIntensity:11574.21;Errors:;F2minusF1Shift:0.0;FittedF2OverF1Intercept:-522.4114840665;FittedF2OverF1Slope:2.09243099293495;FluorescenceClassification:Normal;Focus_FracImageLost:0.00;FocusScoresAvg:3.21;FocusScoresImageCenter:3.66;FocusScoresMax:4.53;FocusScoresMedian:3.15;FractionImageDebris:0.2201;FractionWellsDebris:0.2374;ImageQualityScoreIfUnpegged:1.00;IndexingWellsMissingFromFov:0;IndexingWellsTotalLostBothVisibleAndMissing:0;IndexingWellsVisibleInFovButRemoved:0;L1DR time (ms):27770;NetBeadFillRate:28.71;NormalizedFillPercentage:040.92;Notes:Xtalk: usable out of spec wv 577 sr 4 dir 5 value 0.038. | Xtalk: usable out of spec wv 577 sr 7 dir 3 value 0.036. | Xtalk: usable out of spec wv 577 sr 8 dir 5 value 0.043. | Xtalk: usable out of spec wv 577 sr 11 dir 3 value 0.041.;NumberDecSaturated:1;NumberEmpties:56713;NumberFlagged_DeadPixels:77.0000;NumberFlagged_Debris:45777.0000;NumberFlagged_MissingNeighbor:2772.0000;NumberFlagged_NeighborSaturated:48.0000;NumberFlagged_OddlyRecurrentClassification:25652.0000;NumberFlagged_OutOfBounds:4063.0000;NumberFlagged_SaturatedPixelDecodingFour:01.0000;NumberFlagged_SaturatedPixelResorufinTwo:07.0000;NumberFlagged_SaturationRemoverSuspiciousF1:05.0000;NumberInvalidWells:55994;NumberPositiveEmpties:185;NumberPositives:85103;NumberResSaturated:7;NumberSaturatedWithoutDebris:4;NumberValidUnclassified:40821.00;NumberValidWells:136812;OddlyAggregatedFlag:2;OddlyAggregatedLocations:;OddlyAggregatedWorst:0;OffsetW488:( 0, 0 );OffsetW577:( 0, 0 );OffsetW647:( 0, 1 );OffsetW700:( 0, 0 );OffsetW750:( 0, 0 );ResorufinUnsaturated:1;ResorufinUnsaturatedMutated:0;ResorufinUnsaturatedSuspiciousF1:5;ResorufinUnsaturaterNumberInFit:755;SaturatedDecodingWells:1;SuspiciousWells:22837;SuspiciousWellsFlagged:1;SuspiciousWellsLowerThreshold:5;Warnings:;WhiteLightChannelMedian:9869;XtalkSubregionsOutOfSpec:0</t>
  </si>
  <si>
    <t>0002_DecodingIntensityStdDev_577F1:74.694;0002_DecodingIntensityStdDev_577F2:162.663;0002_MeanDecodingIntensity_577F1:514.83;0002_MeanDecodingIntensity_577F2:679.93;0002AEB:-;0002DecodingIntensityStdDev:349.164;0002DecodingIntensityStdDev_488:349.164;0002DecodingIntensityStdDev_647:5.051;0002DecodingIntensityStdDev_700:4.915;0002DecodingIntensityStdDev_750:6.276;0002F_on:0.9808;0002FillPercent:014.47;0002KineticInconsistentLower:0;0002KineticInconsistentMetadata:-525.030103725196|2.39;0002MeanDecodingIntensity:1524.59;0002MeanDecodingIntensity_488:1524.59;0002MeanDecodingIntensity_647:35.04;0002MeanDecodingIntensity_700:30.51;0002MeanDecodingIntensity_750:35.33;0002ReflectiveIntensity:13070.26;0002ReflectiveIntensityStdDev:601.295;0002SealTimeEstimate:19.7;0021_DecodingIntensityStdDev_577F1:87.378;0021_DecodingIntensityStdDev_577F2:199.309;0021_MeanDecodingIntensity_577F1:533.17;0021_MeanDecodingIntensity_577F2:734.34;0021AEB:-;0021DecodingIntensityStdDev:84.059;0021DecodingIntensityStdDev_488:22.836;0021DecodingIntensityStdDev_647:84.059;0021DecodingIntensityStdDev_700:9.770;0021DecodingIntensityStdDev_750:6.676;0021F_on:0.9959;0021FillPercent:008.70;0021KineticInconsistentLower:0;0021KineticInconsistentMetadata:-546.685313697385|2.45;0021MeanDecodingIntensity:408.57;0021MeanDecodingIntensity_488:142.19;0021MeanDecodingIntensity_647:408.57;0021MeanDecodingIntensity_700:67.57;0021MeanDecodingIntensity_750:35.61;0021ReflectiveIntensity:12849.73;0021ReflectiveIntensityStdDev:500.310;0021SealTimeEstimate:18.8;0201_DecodingIntensityStdDev_577F1:83.218;0201_DecodingIntensityStdDev_577F2:187.008;0201_MeanDecodingIntensity_577F1:529.75;0201_MeanDecodingIntensity_577F2:725.49;0201AEB:-;0201DecodingIntensityStdDev:111.290;0201DecodingIntensityStdDev_488:26.307;0201DecodingIntensityStdDev_647:18.072;0201DecodingIntensityStdDev_700:111.290;0201DecodingIntensityStdDev_750:11.137;0201F_on:0.9943;0201FillPercent:010.03;0201KineticInconsistentLower:0;0201KineticInconsistentMetadata:-546.303819680718|2.45;0201MeanDecodingIntensity:482.10;0201MeanDecodingIntensity_488:145.18;0201MeanDecodingIntensity_647:96.65;0201MeanDecodingIntensity_700:482.10;0201MeanDecodingIntensity_750:64.59;0201ReflectiveIntensity:12883.61;0201ReflectiveIntensityStdDev:518.939;0201SealTimeEstimate:18.8;2001_DecodingIntensityStdDev_577F1:80.172;2001_DecodingIntensityStdDev_577F2:177.603;2001_MeanDecodingIntensity_577F1:559.53;2001_MeanDecodingIntensity_577F2:755.43;2001AEB:-;2001DecodingIntensityStdDev:221.757;2001DecodingIntensityStdDev_488:25.042;2001DecodingIntensityStdDev_647:5.533;2001DecodingIntensityStdDev_700:5.713;2001DecodingIntensityStdDev_750:221.757;2001F_on:0.9920;2001FillPercent:009.72;2001KineticInconsistentLower:0;2001KineticInconsistentMetadata:-576.237596422051|2.43;2001MeanDecodingIntensity:941.58;2001MeanDecodingIntensity_488:144.83;2001MeanDecodingIntensity_647:38.31;2001MeanDecodingIntensity_700:34.52;2001MeanDecodingIntensity_750:941.58;2001ReflectiveIntensity:12885.34;2001ReflectiveIntensityStdDev:540.369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13.02;Empties488F1MeanIntensity:75.37;Empties577F1IntensityStdDev:27.93;Empties577F1MeanIntensity:380.26;Empties577F2IntensityStdDev:52.91;Empties577F2MeanIntensity:382.78;Empties647F1IntensityStdDev:4.51;Empties647F1MeanIntensity:31.85;Empties700F1IntensityStdDev:4.47;Empties700F1MeanIntensity:29.79;Empties750F1IntensityStdDev:5.53;Empties750F1MeanIntensity:34.30;EmptiesIGrowth:229.89;EmptiesReflectiveIntensityStdDev:307.20;EmptiesReflectiveMeanIntensity:11609.23;Errors:;F2minusF1Shift:-1.0;FittedF2OverF1Intercept:-765.98315638647;FittedF2OverF1Slope:2.41124854263064;FluorescenceClassification:Normal;Focus_FracImageLost:0.00;FocusScoresAvg:3.34;FocusScoresImageCenter:3.96;FocusScoresMax:4.81;FocusScoresMedian:3.27;FractionImageDebris:0.1823;FractionWellsDebris:0.2038;ImageQualityScoreIfUnpegged:1.00;IndexingWellsMissingFromFov:0;IndexingWellsTotalLostBothVisibleAndMissing:0;IndexingWellsVisibleInFovButRemoved:0;L1DR time (ms):28038;NetBeadFillRate:30.11;NormalizedFillPercentage:042.91;Notes:Xtalk: usable out of spec wv 577 sr 4 dir 5 value 0.041. | Xtalk: usable out of spec wv 577 sr 7 dir 3 value 0.038. | Xtalk: usable out of spec wv 577 sr 8 dir 5 value 0.046.;NumberDecSaturated:0;NumberEmpties:47724;NumberFlagged_DeadPixels:75.0000;NumberFlagged_Debris:39299.0000;NumberFlagged_MissingNeighbor:2562.0000;NumberFlagged_NeighborSaturated:24.0000;NumberFlagged_OddlyRecurrentClassification:57139.0000;NumberFlagged_OutOfBounds:4138.0000;NumberFlagged_SaturatedPixelResorufinTwo:04.0000;NumberFlagged_SaturationRemoverSuspiciousF1:03.0000;NumberInvalidWells:73702;NumberPositiveEmpties:325;NumberPositives:94626;NumberResSaturated:4;NumberSaturatedWithoutDebris:3;NumberValidUnclassified:35560.00;NumberValidWells:119159;OddlyAggregatedFlag:2;OddlyAggregatedLocations:;OddlyAggregatedWorst:0;OffsetW488:( 0, 0 );OffsetW577:( 0, 0 );OffsetW647:( 0, 0 );OffsetW700:( 0, 0 );OffsetW750:( 0, 0 );ResorufinUnsaturated:1;ResorufinUnsaturatedMutated:2;ResorufinUnsaturatedSuspiciousF1:3;ResorufinUnsaturaterNumberInFit:446;SaturatedDecodingWells:0;SuspiciousWells:20544;SuspiciousWellsFlagged:1;SuspiciousWellsLowerThreshold:6;Warnings:;WhiteLightChannelMedian:9901;XtalkSubregionsOutOfSpec:0</t>
  </si>
  <si>
    <t>high-1-4-4</t>
  </si>
  <si>
    <t>Plate 1 - Well C11</t>
  </si>
  <si>
    <t>0002_DecodingIntensityStdDev_577F1:39.115;0002_DecodingIntensityStdDev_577F2:87.256;0002_MeanDecodingIntensity_577F1:423.01;0002_MeanDecodingIntensity_577F2:448.41;0002AEB:00.1529;0002DecodingIntensityStdDev:389.177;0002DecodingIntensityStdDev_488:389.177;0002DecodingIntensityStdDev_647:5.360;0002DecodingIntensityStdDev_700:5.293;0002DecodingIntensityStdDev_750:6.921;0002F_on:0.1417;0002FillPercent:015.32;0002KineticInconsistentLower:0;0002KineticInconsistentMetadata:-653.446931855914|2.68;0002MeanDecodingIntensity:1604.36;0002MeanDecodingIntensity_488:1604.36;0002MeanDecodingIntensity_647:35.14;0002MeanDecodingIntensity_700:30.79;0002MeanDecodingIntensity_750:35.91;0002ReflectiveIntensity:13106.86;0002ReflectiveIntensityStdDev:648.371;0002SealTimeEstimate:16.2;0021_DecodingIntensityStdDev_577F1:35.964;0021_DecodingIntensityStdDev_577F2:80.234;0021_MeanDecodingIntensity_577F1:417.32;0021_MeanDecodingIntensity_577F2:443.06;0021AEB:00.1602;0021DecodingIntensityStdDev:92.337;0021DecodingIntensityStdDev_488:25.275;0021DecodingIntensityStdDev_647:92.337;0021DecodingIntensityStdDev_700:11.132;0021DecodingIntensityStdDev_750:7.285;0021F_on:0.1480;0021FillPercent:008.95;0021KineticInconsistentLower:0;0021KineticInconsistentMetadata:-594.391435572347|2.56;0021MeanDecodingIntensity:418.10;0021MeanDecodingIntensity_488:146.09;0021MeanDecodingIntensity_647:418.10;0021MeanDecodingIntensity_700:69.49;0021MeanDecodingIntensity_750:36.09;0021ReflectiveIntensity:12882.23;0021ReflectiveIntensityStdDev:547.219;0021SealTimeEstimate:17.5;0201_DecodingIntensityStdDev_577F1:37.802;0201_DecodingIntensityStdDev_577F2:82.614;0201_MeanDecodingIntensity_577F1:418.57;0201_MeanDecodingIntensity_577F2:445.05;0201AEB:00.1725;0201DecodingIntensityStdDev:136.531;0201DecodingIntensityStdDev_488:41.336;0201DecodingIntensityStdDev_647:39.615;0201DecodingIntensityStdDev_700:136.531;0201DecodingIntensityStdDev_750:15.207;0201F_on:0.1585;0201FillPercent:010.63;0201KineticInconsistentLower:0;0201KineticInconsistentMetadata:-588.890984594438|2.54;0201MeanDecodingIntensity:504.08;0201MeanDecodingIntensity_488:152.01;0201MeanDecodingIntensity_647:101.55;0201MeanDecodingIntensity_700:504.08;0201MeanDecodingIntensity_750:66.18;0201ReflectiveIntensity:12973.47;0201ReflectiveIntensityStdDev:619.475;0201SealTimeEstimate:17.7;2001_DecodingIntensityStdDev_577F1:40.317;2001_DecodingIntensityStdDev_577F2:84.864;2001_MeanDecodingIntensity_577F1:448.77;2001_MeanDecodingIntensity_577F2:475.44;2001AEB:00.1483;2001DecodingIntensityStdDev:254.502;2001DecodingIntensityStdDev_488:55.549;2001DecodingIntensityStdDev_647:10.156;2001DecodingIntensityStdDev_700:7.034;2001DecodingIntensityStdDev_750:254.502;2001F_on:0.1378;2001FillPercent:010.05;2001KineticInconsistentLower:0;2001KineticInconsistentMetadata:-615.709221805723|2.51;2001MeanDecodingIntensity:961.41;2001MeanDecodingIntensity_488:152.65;2001MeanDecodingIntensity_647:38.97;2001MeanDecodingIntensity_700:34.99;2001MeanDecodingIntensity_750:961.41;2001ReflectiveIntensity:12960.69;2001ReflectiveIntensityStdDev:603.394;2001SealTimeEstimate:18.1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13.22;Empties488F1MeanIntensity:74.45;Empties577F1IntensityStdDev:19.15;Empties577F1MeanIntensity:378.94;Empties577F2IntensityStdDev:30.15;Empties577F2MeanIntensity:377.02;Empties647F1IntensityStdDev:4.58;Empties647F1MeanIntensity:31.78;Empties700F1IntensityStdDev:4.52;Empties700F1MeanIntensity:29.72;Empties750F1IntensityStdDev:5.63;Empties750F1MeanIntensity:34.31;EmptiesIGrowth:239.36;EmptiesReflectiveIntensityStdDev:323.66;EmptiesReflectiveMeanIntensity:11649.88;Errors:;F2minusF1Shift:-1.3;FluorescenceClassification:Normal;Focus_FracImageLost:0.00;FocusScoresAvg:3.18;FocusScoresImageCenter:3.66;FocusScoresMax:4.95;FocusScoresMedian:3.14;FractionImageDebris:0.0868;FractionWellsDebris:0.0959;ImageQualityScoreIfUnpegged:1.00;IndexingWellsMissingFromFov:0;IndexingWellsTotalLostBothVisibleAndMissing:0;IndexingWellsVisibleInFovButRemoved:0;L1DR time (ms):28358;NetBeadFillRate:31.54;NormalizedFillPercentage:044.95;Notes:;NumberDecSaturated:0;NumberEmpties:65260;NumberFlagged_DeadPixels:72.0000;NumberFlagged_Debris:18463.0000;NumberFlagged_MissingNeighbor:3675.0000;NumberFlagged_OddlyRecurrentClassification:3780.0000;NumberFlagged_OutOfBounds:4057.0000;NumberInvalidWells:23585;NumberPositiveEmpties:137;NumberPositives:19060;NumberResSaturated:0;NumberSaturatedWithoutDebris:0;NumberValidUnclassified:50388.00;NumberValidWells:168932;OddlyAggregatedFlag:2;OddlyAggregatedLocations:;OddlyAggregatedWorst:0;OffsetW488:( 0, 0 );OffsetW577:( 0, 0 );OffsetW647:( 0, 1 );OffsetW700:( 0, 0 );OffsetW750:( 0, 0 );ResorufinUnsaturated:0;ResorufinUnsaturatedMutated:0;ResorufinUnsaturaterNumberInFit:30;SaturatedDecodingWells:0;SuspiciousWells:27785;SuspiciousWellsFlagged:1;SuspiciousWellsLowerThreshold:5;Warnings:;WhiteLightChannelMedian:10030;XtalkSubregionsOutOfSpec:0</t>
  </si>
  <si>
    <t>0002_DecodingIntensityStdDev_577F1:48.108;0002_DecodingIntensityStdDev_577F2:99.761;0002_MeanDecodingIntensity_577F1:410.71;0002_MeanDecodingIntensity_577F2:436.24;0002AEB:00.1344;0002DecodingIntensityStdDev:383.971;0002DecodingIntensityStdDev_488:383.971;0002DecodingIntensityStdDev_647:5.282;0002DecodingIntensityStdDev_700:5.312;0002DecodingIntensityStdDev_750:6.843;0002F_on:0.1258;0002FillPercent:015.01;0002KineticInconsistentLower:0;0002KineticInconsistentMetadata:-500.114238943292|2.33;0002MeanDecodingIntensity:1542.70;0002MeanDecodingIntensity_488:1542.70;0002MeanDecodingIntensity_647:34.88;0002MeanDecodingIntensity_700:30.55;0002MeanDecodingIntensity_750:35.57;0002ReflectiveIntensity:12967.43;0002ReflectiveIntensityStdDev:648.327;0002SealTimeEstimate:20.6;0021_DecodingIntensityStdDev_577F1:44.153;0021_DecodingIntensityStdDev_577F2:93.358;0021_MeanDecodingIntensity_577F1:405.73;0021_MeanDecodingIntensity_577F2:432.31;0021AEB:00.1290;0021DecodingIntensityStdDev:93.826;0021DecodingIntensityStdDev_488:24.624;0021DecodingIntensityStdDev_647:93.826;0021DecodingIntensityStdDev_700:11.024;0021DecodingIntensityStdDev_750:7.098;0021F_on:0.1211;0021FillPercent:008.98;0021KineticInconsistentLower:0;0021KineticInconsistentMetadata:-512.153097423189|2.37;0021MeanDecodingIntensity:412.90;0021MeanDecodingIntensity_488:138.02;0021MeanDecodingIntensity_647:412.90;0021MeanDecodingIntensity_700:68.33;0021MeanDecodingIntensity_750:35.65;0021ReflectiveIntensity:12733.15;0021ReflectiveIntensityStdDev:531.625;0021SealTimeEstimate:20.0;0201_DecodingIntensityStdDev_577F1:40.466;0201_DecodingIntensityStdDev_577F2:82.180;0201_MeanDecodingIntensity_577F1:405.63;0201_MeanDecodingIntensity_577F2:431.39;0201AEB:00.1098;0201DecodingIntensityStdDev:135.321;0201DecodingIntensityStdDev_488:33.869;0201DecodingIntensityStdDev_647:29.710;0201DecodingIntensityStdDev_700:135.321;0201DecodingIntensityStdDev_750:13.162;0201F_on:0.1040;0201FillPercent:010.54;0201KineticInconsistentLower:0;0201KineticInconsistentMetadata:-521.163218584355|2.39;0201MeanDecodingIntensity:493.21;0201MeanDecodingIntensity_488:142.76;0201MeanDecodingIntensity_647:100.03;0201MeanDecodingIntensity_700:493.21;0201MeanDecodingIntensity_750:65.36;0201ReflectiveIntensity:12814.57;0201ReflectiveIntensityStdDev:598.262;0201SealTimeEstimate:19.7;2001_DecodingIntensityStdDev_577F1:47.936;2001_DecodingIntensityStdDev_577F2:97.649;2001_MeanDecodingIntensity_577F1:435.68;2001_MeanDecodingIntensity_577F2:462.14;2001AEB:00.1175;2001DecodingIntensityStdDev:253.438;2001DecodingIntensityStdDev_488:35.734;2001DecodingIntensityStdDev_647:6.941;2001DecodingIntensityStdDev_700:6.464;2001DecodingIntensityStdDev_750:253.438;2001F_on:0.1109;2001FillPercent:010.01;2001KineticInconsistentLower:0;2001KineticInconsistentMetadata:-523.590493215505|2.32;2001MeanDecodingIntensity:953.81;2001MeanDecodingIntensity_488:142.65;2001MeanDecodingIntensity_647:38.15;2001MeanDecodingIntensity_700:34.98;2001MeanDecodingIntensity_750:953.81;2001ReflectiveIntensity:12805.44;2001ReflectiveIntensityStdDev:592.533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13.47;Empties488F1MeanIntensity:69.40;Empties577F1IntensityStdDev:16.25;Empties577F1MeanIntensity:361.71;Empties577F2IntensityStdDev:20.20;Empties577F2MeanIntensity:361.08;Empties647F1IntensityStdDev:4.69;Empties647F1MeanIntensity:31.62;Empties700F1IntensityStdDev:4.78;Empties700F1MeanIntensity:29.68;Empties750F1IntensityStdDev:5.86;Empties750F1MeanIntensity:34.10;EmptiesIGrowth:209.11;EmptiesReflectiveIntensityStdDev:309.89;EmptiesReflectiveMeanIntensity:11526.84;Errors:;F2minusF1Shift:-3.7;FluorescenceClassification:Normal;Focus_FracImageLost:0.00;FocusScoresAvg:3.13;FocusScoresImageCenter:3.52;FocusScoresMax:4.81;FocusScoresMedian:3.14;FractionImageDebris:0.1180;FractionWellsDebris:0.1240;ImageQualityScoreIfUnpegged:1.00;IndexingWellsMissingFromFov:0;IndexingWellsTotalLostBothVisibleAndMissing:0;IndexingWellsVisibleInFovButRemoved:0;L1DR time (ms):28694;NetBeadFillRate:31.25;NormalizedFillPercentage:044.54;Notes:Xtalk: usable out of spec wv 700 sr 4 dir 5 value 0.036.;NumberDecSaturated:1;NumberEmpties:63837;NumberFlagged_DeadPixels:79.0000;NumberFlagged_Debris:23865.0000;NumberFlagged_MissingNeighbor:3415.0000;NumberFlagged_NeighborSaturated:06.0000;NumberFlagged_OddlyRecurrentClassification:4911.0000;NumberFlagged_OutOfBounds:4006.0000;NumberFlagged_SaturatedPixelDecodingFour:01.0000;NumberInvalidWells:28367;NumberPositiveEmpties:40;NumberPositives:17512;NumberResSaturated:0;NumberSaturatedWithoutDebris:1;NumberValidUnclassified:48965.00;NumberValidWells:164070;OddlyAggregatedFlag:2;OddlyAggregatedLocations:;OddlyAggregatedWorst:0;OffsetW488:( 1, 0 );OffsetW577:( 0, 0 );OffsetW647:( 0, 0 );OffsetW700:( 0, 0 );OffsetW750:( 0, 0 );ResorufinUnsaturated:0;ResorufinUnsaturatedMutated:0;ResorufinUnsaturaterNumberInFit:42;SaturatedDecodingWells:1;SuspiciousWells:24145;SuspiciousWellsFlagged:1;SuspiciousWellsLowerThreshold:5;Warnings:;WhiteLightChannelMedian:9891;XtalkSubregionsOutOfSpec:0</t>
  </si>
  <si>
    <t>0002_DecodingIntensityStdDev_577F1:52.341;0002_DecodingIntensityStdDev_577F2:106.747;0002_MeanDecodingIntensity_577F1:416.17;0002_MeanDecodingIntensity_577F2:443.24;0002AEB:00.1458;0002DecodingIntensityStdDev:383.183;0002DecodingIntensityStdDev_488:383.183;0002DecodingIntensityStdDev_647:5.179;0002DecodingIntensityStdDev_700:5.216;0002DecodingIntensityStdDev_750:6.583;0002F_on:0.1357;0002FillPercent:014.98;0002KineticInconsistentLower:0;0002KineticInconsistentMetadata:-518.998932614642|2.36;0002MeanDecodingIntensity:1542.00;0002MeanDecodingIntensity_488:1542.00;0002MeanDecodingIntensity_647:34.68;0002MeanDecodingIntensity_700:30.65;0002MeanDecodingIntensity_750:35.44;0002ReflectiveIntensity:12872.19;0002ReflectiveIntensityStdDev:652.116;0002SealTimeEstimate:20.1;0021_DecodingIntensityStdDev_577F1:45.145;0021_DecodingIntensityStdDev_577F2:91.414;0021_MeanDecodingIntensity_577F1:410.05;0021_MeanDecodingIntensity_577F2:437.17;0021AEB:00.1612;0021DecodingIntensityStdDev:89.822;0021DecodingIntensityStdDev_488:23.535;0021DecodingIntensityStdDev_647:89.822;0021DecodingIntensityStdDev_700:10.689;0021DecodingIntensityStdDev_750:6.833;0021F_on:0.1489;0021FillPercent:008.88;0021KineticInconsistentLower:0;0021KineticInconsistentMetadata:-479.373555983177|2.29;0021MeanDecodingIntensity:405.02;0021MeanDecodingIntensity_488:135.20;0021MeanDecodingIntensity_647:405.02;0021MeanDecodingIntensity_700:67.89;0021MeanDecodingIntensity_750:35.46;0021ReflectiveIntensity:12639.56;0021ReflectiveIntensityStdDev:550.582;0021SealTimeEstimate:21.3;0201_DecodingIntensityStdDev_577F1:46.496;0201_DecodingIntensityStdDev_577F2:93.690;0201_MeanDecodingIntensity_577F1:411.49;0201_MeanDecodingIntensity_577F2:439.67;0201AEB:00.1516;0201DecodingIntensityStdDev:130.719;0201DecodingIntensityStdDev_488:31.672;0201DecodingIntensityStdDev_647:31.118;0201DecodingIntensityStdDev_700:130.719;0201DecodingIntensityStdDev_750:12.953;0201F_on:0.1406;0201FillPercent:010.54;0201KineticInconsistentLower:0;0201KineticInconsistentMetadata:-495.132290020169|2.32;0201MeanDecodingIntensity:488.43;0201MeanDecodingIntensity_488:139.70;0201MeanDecodingIntensity_647:98.93;0201MeanDecodingIntensity_700:488.43;0201MeanDecodingIntensity_750:64.79;0201ReflectiveIntensity:12721.28;0201ReflectiveIntensityStdDev:610.314;0201SealTimeEstimate:20.8;2001_DecodingIntensityStdDev_577F1:47.323;2001_DecodingIntensityStdDev_577F2:91.977;2001_MeanDecodingIntensity_577F1:439.52;2001_MeanDecodingIntensity_577F2:467.01;2001AEB:00.1516;2001DecodingIntensityStdDev:244.180;2001DecodingIntensityStdDev_488:32.622;2001DecodingIntensityStdDev_647:6.748;2001DecodingIntensityStdDev_700:6.455;2001DecodingIntensityStdDev_750:244.180;2001F_on:0.1407;2001FillPercent:009.84;2001KineticInconsistentLower:0;2001KineticInconsistentMetadata:-514.606689678002|2.29;2001MeanDecodingIntensity:918.15;2001MeanDecodingIntensity_488:138.93;2001MeanDecodingIntensity_647:38.01;2001MeanDecodingIntensity_700:34.76;2001MeanDecodingIntensity_750:918.15;2001ReflectiveIntensity:12711.75;2001ReflectiveIntensityStdDev:594.207;2001SealTimeEstimate:21.3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12.53;Empties488F1MeanIntensity:68.17;Empties577F1IntensityStdDev:22.48;Empties577F1MeanIntensity:367.56;Empties577F2IntensityStdDev:35.86;Empties577F2MeanIntensity:367.16;Empties647F1IntensityStdDev:4.60;Empties647F1MeanIntensity:31.52;Empties700F1IntensityStdDev:4.65;Empties700F1MeanIntensity:29.68;Empties750F1IntensityStdDev:5.67;Empties750F1MeanIntensity:34.06;EmptiesIGrowth:219.44;EmptiesReflectiveIntensityStdDev:334.28;EmptiesReflectiveMeanIntensity:11441.36;Errors:;F2minusF1Shift:-3.0;FluorescenceClassification:Normal;Focus_FracImageLost:0.00;FocusScoresAvg:3.17;FocusScoresImageCenter:4.37;FocusScoresMax:4.86;FocusScoresMedian:3.22;FractionImageDebris:0.0855;FractionWellsDebris:0.0940;ImageQualityScoreIfUnpegged:1.00;IndexingWellsMissingFromFov:0;IndexingWellsTotalLostBothVisibleAndMissing:0;IndexingWellsVisibleInFovButRemoved:0;L1DR time (ms):28997;NetBeadFillRate:31.04;NormalizedFillPercentage:044.23;Notes:Xtalk: usable out of spec wv 577 sr 8 dir 4 value 0.038. | Xtalk: usable out of spec wv 488 sr 4 dir 5 value 0.038. | Xtalk: usable out of spec wv 488 sr 8 dir 5 value 0.036.;NumberDecSaturated:0;NumberEmpties:66213;NumberFlagged_DeadPixels:66.0000;NumberFlagged_Debris:18085.0000;NumberFlagged_MissingNeighbor:3856.0000;NumberFlagged_NeighborSaturated:06.0000;NumberFlagged_OddlyRecurrentClassification:2965.0000;NumberFlagged_OutOfBounds:4104.0000;NumberFlagged_SaturatedPixelResorufinTwo:01.0000;NumberInvalidWells:23179;NumberPositiveEmpties:162;NumberPositives:18201;NumberResSaturated:1;NumberSaturatedWithoutDebris:1;NumberValidUnclassified:50477.00;NumberValidWells:169205;OddlyAggregatedFlag:2;OddlyAggregatedLocations:;OddlyAggregatedWorst:0;OffsetW488:( 0, 0 );OffsetW577:( 0, 0 );OffsetW647:( 0, 0 );OffsetW700:( 0, 0 );OffsetW750:( 0, 0 );ResorufinUnsaturated:0;ResorufinUnsaturatedMutated:0;ResorufinUnsaturaterNumberInFit:73;SaturatedDecodingWells:0;SuspiciousWells:20210;SuspiciousWellsFlagged:1;SuspiciousWellsLowerThreshold:5;Warnings:;WhiteLightChannelMedian:9798;XtalkSubregionsOutOfSpec:0</t>
  </si>
  <si>
    <t>high-1-4-3</t>
  </si>
  <si>
    <t>Plate 1 - Well D11</t>
  </si>
  <si>
    <t>0002_DecodingIntensityStdDev_577F1:38.650;0002_DecodingIntensityStdDev_577F2:74.046;0002_MeanDecodingIntensity_577F1:397.84;0002_MeanDecodingIntensity_577F2:405.88;0002AEB:00.0297;0002DecodingIntensityStdDev:352.470;0002DecodingIntensityStdDev_488:352.470;0002DecodingIntensityStdDev_647:4.686;0002DecodingIntensityStdDev_700:4.663;0002DecodingIntensityStdDev_750:5.548;0002F_on:0.0292;0002FillPercent:012.82;0002KineticInconsistentLower:0;0002KineticInconsistentMetadata:-516.712000578062|2.37;0002MeanDecodingIntensity:1672.73;0002MeanDecodingIntensity_488:1672.73;0002MeanDecodingIntensity_647:34.68;0002MeanDecodingIntensity_700:30.05;0002MeanDecodingIntensity_750:34.70;0002ReflectiveIntensity:13293.13;0002ReflectiveIntensityStdDev:659.981;0002SealTimeEstimate:20.0;0021_DecodingIntensityStdDev_577F1:32.065;0021_DecodingIntensityStdDev_577F2:58.390;0021_MeanDecodingIntensity_577F1:390.53;0021_MeanDecodingIntensity_577F2:396.10;0021AEB:00.0159;0021DecodingIntensityStdDev:83.236;0021DecodingIntensityStdDev_488:19.181;0021DecodingIntensityStdDev_647:83.236;0021DecodingIntensityStdDev_700:9.637;0021DecodingIntensityStdDev_750:5.548;0021F_on:0.0157;0021FillPercent:007.59;0021KineticInconsistentLower:0;0021KineticInconsistentMetadata:-517.463976149097|2.38;0021MeanDecodingIntensity:436.65;0021MeanDecodingIntensity_488:138.80;0021MeanDecodingIntensity_647:436.65;0021MeanDecodingIntensity_700:69.99;0021MeanDecodingIntensity_750:34.76;0021ReflectiveIntensity:13049.37;0021ReflectiveIntensityStdDev:569.589;0021SealTimeEstimate:19.8;0201_DecodingIntensityStdDev_577F1:32.043;0201_DecodingIntensityStdDev_577F2:57.082;0201_MeanDecodingIntensity_577F1:389.39;0201_MeanDecodingIntensity_577F2:394.78;0201AEB:00.0166;0201DecodingIntensityStdDev:101.938;0201DecodingIntensityStdDev_488:20.593;0201DecodingIntensityStdDev_647:14.792;0201DecodingIntensityStdDev_700:101.938;0201DecodingIntensityStdDev_750:9.381;0201F_on:0.0165;0201FillPercent:008.50;0201KineticInconsistentLower:0;0201KineticInconsistentMetadata:-516.886735260337|2.38;0201MeanDecodingIntensity:520.36;0201MeanDecodingIntensity_488:140.37;0201MeanDecodingIntensity_647:98.31;0201MeanDecodingIntensity_700:520.36;0201MeanDecodingIntensity_750:64.77;0201ReflectiveIntensity:13063.58;0201ReflectiveIntensityStdDev:567.995;0201SealTimeEstimate:19.8;2001_DecodingIntensityStdDev_577F1:34.397;2001_DecodingIntensityStdDev_577F2:61.074;2001_MeanDecodingIntensity_577F1:421.77;2001_MeanDecodingIntensity_577F2:427.91;2001AEB:00.0198;2001DecodingIntensityStdDev:199.315;2001DecodingIntensityStdDev_488:19.890;2001DecodingIntensityStdDev_647:4.908;2001DecodingIntensityStdDev_700:4.867;2001DecodingIntensityStdDev_750:199.315;2001F_on:0.0196;2001FillPercent:008.17;2001KineticInconsistentLower:0;2001KineticInconsistentMetadata:-560.419670429622|2.39;2001MeanDecodingIntensity:997.97;2001MeanDecodingIntensity_488:139.77;2001MeanDecodingIntensity_647:37.84;2001MeanDecodingIntensity_700:34.06;2001MeanDecodingIntensity_750:997.97;2001ReflectiveIntensity:13059.58;2001ReflectiveIntensityStdDev:577.465;2001SealTimeEstimate:19.7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10.47;Empties488F1MeanIntensity:67.22;Empties577F1IntensityStdDev:26.94;Empties577F1MeanIntensity:351.89;Empties577F2IntensityStdDev:28.49;Empties577F2MeanIntensity:350.92;Empties647F1IntensityStdDev:4.15;Empties647F1MeanIntensity:31.50;Empties700F1IntensityStdDev:4.02;Empties700F1MeanIntensity:29.36;Empties750F1IntensityStdDev:4.86;Empties750F1MeanIntensity:33.73;EmptiesIGrowth:315.42;EmptiesReflectiveIntensityStdDev:393.86;EmptiesReflectiveMeanIntensity:11785.86;Errors:;F2minusF1Shift:-1.4;FluorescenceClassification:Normal;Focus_FracImageLost:0.00;FocusScoresAvg:3.17;FocusScoresImageCenter:3.81;FocusScoresMax:5.18;FocusScoresMedian:3.17;FractionImageDebris:0.0377;FractionWellsDebris:0.0436;ImageQualityScoreIfUnpegged:1.00;IndexingWellsMissingFromFov:0;IndexingWellsTotalLostBothVisibleAndMissing:0;IndexingWellsVisibleInFovButRemoved:0;L1DR time (ms):29105;NetBeadFillRate:26.07;NormalizedFillPercentage:037.08;Notes:;NumberDecSaturated:0;NumberEmpties:79056;NumberFlagged_DeadPixels:63.0000;NumberFlagged_Debris:8399.0000;NumberFlagged_MissingNeighbor:3345.0000;NumberFlagged_OutOfBounds:4152.0000;NumberInvalidWells:13900;NumberPositiveEmpties:17;NumberPositives:1821;NumberResSaturated:0;NumberSaturatedWithoutDebris:0;NumberValidUnclassified:53054.00;NumberValidWells:178693;OddlyAggregatedFlag:2;OddlyAggregatedLocations:;OddlyAggregatedWorst:0;OffsetW488:( 0, 0 );OffsetW577:( 0, 0 );OffsetW647:( -1, 1 );OffsetW700:( 0, 0 );OffsetW750:( 0, 0 );ResorufinUnsaturated:0;ResorufinUnsaturatedMutated:0;ResorufinUnsaturaterNumberInFit:13;SaturatedDecodingWells:0;SuspiciousWells:21079;SuspiciousWellsFlagged:1;SuspiciousWellsLowerThreshold:4;Warnings:;WhiteLightChannelMedian:9955;XtalkSubregionsOutOfSpec:0</t>
  </si>
  <si>
    <t>0002_DecodingIntensityStdDev_577F1:36.762;0002_DecodingIntensityStdDev_577F2:74.773;0002_MeanDecodingIntensity_577F1:401.43;0002_MeanDecodingIntensity_577F2:411.03;0002AEB:00.0347;0002DecodingIntensityStdDev:394.352;0002DecodingIntensityStdDev_488:394.352;0002DecodingIntensityStdDev_647:5.290;0002DecodingIntensityStdDev_700:5.292;0002DecodingIntensityStdDev_750:6.917;0002F_on:0.0341;0002FillPercent:016.98;0002KineticInconsistentLower:0;0002KineticInconsistentMetadata:-611.392563541205|2.63;0002MeanDecodingIntensity:1565.52;0002MeanDecodingIntensity_488:1565.52;0002MeanDecodingIntensity_647:34.80;0002MeanDecodingIntensity_700:30.60;0002MeanDecodingIntensity_750:35.92;0002ReflectiveIntensity:13152.21;0002ReflectiveIntensityStdDev:631.071;0002SealTimeEstimate:16.7;0021_DecodingIntensityStdDev_577F1:30.252;0021_DecodingIntensityStdDev_577F2:61.282;0021_MeanDecodingIntensity_577F1:393.95;0021_MeanDecodingIntensity_577F2:400.88;0021AEB:00.0197;0021DecodingIntensityStdDev:95.428;0021DecodingIntensityStdDev_488:27.015;0021DecodingIntensityStdDev_647:95.428;0021DecodingIntensityStdDev_700:11.145;0021DecodingIntensityStdDev_750:7.476;0021F_on:0.0195;0021FillPercent:010.82;0021KineticInconsistentLower:0;0021KineticInconsistentMetadata:-661.451005375019|2.77;0021MeanDecodingIntensity:409.21;0021MeanDecodingIntensity_488:140.06;0021MeanDecodingIntensity_647:409.21;0021MeanDecodingIntensity_700:67.88;0021MeanDecodingIntensity_750:36.21;0021ReflectiveIntensity:12919.00;0021ReflectiveIntensityStdDev:521.762;0021SealTimeEstimate:15.3;0201_DecodingIntensityStdDev_577F1:36.271;0201_DecodingIntensityStdDev_577F2:71.886;0201_MeanDecodingIntensity_577F1:397.14;0201_MeanDecodingIntensity_577F2:405.41;0201AEB:00.0262;0201DecodingIntensityStdDev:146.887;0201DecodingIntensityStdDev_488:51.041;0201DecodingIntensityStdDev_647:54.895;0201DecodingIntensityStdDev_700:146.887;0201DecodingIntensityStdDev_750:17.126;0201F_on:0.0258;0201FillPercent:012.34;0201KineticInconsistentLower:0;0201KineticInconsistentMetadata:-586.139800432086|2.6;0201MeanDecodingIntensity:499.99;0201MeanDecodingIntensity_488:147.23;0201MeanDecodingIntensity_647:106.39;0201MeanDecodingIntensity_700:499.99;0201MeanDecodingIntensity_750:66.10;0201ReflectiveIntensity:13033.66;0201ReflectiveIntensityStdDev:621.213;0201SealTimeEstimate:17.0;2001_DecodingIntensityStdDev_577F1:37.814;2001_DecodingIntensityStdDev_577F2:68.673;2001_MeanDecodingIntensity_577F1:424.49;2001_MeanDecodingIntensity_577F2:431.79;2001AEB:00.0204;2001DecodingIntensityStdDev:259.058;2001DecodingIntensityStdDev_488:78.552;2001DecodingIntensityStdDev_647:12.303;2001DecodingIntensityStdDev_700:7.838;2001DecodingIntensityStdDev_750:259.058;2001F_on:0.0202;2001FillPercent:011.82;2001KineticInconsistentLower:0;2001KineticInconsistentMetadata:-645.455782717813|2.64;2001MeanDecodingIntensity:922.19;2001MeanDecodingIntensity_488:150.34;2001MeanDecodingIntensity_647:38.63;2001MeanDecodingIntensity_700:34.95;2001MeanDecodingIntensity_750:922.19;2001ReflectiveIntensity:13004.20;2001ReflectiveIntensityStdDev:600.021;2001SealTimeEstimate:16.6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13.41;Empties488F1MeanIntensity:69.71;Empties577F1IntensityStdDev:19.11;Empties577F1MeanIntensity:365.38;Empties577F2IntensityStdDev:23.16;Empties577F2MeanIntensity:363.95;Empties647F1IntensityStdDev:4.63;Empties647F1MeanIntensity:31.55;Empties700F1IntensityStdDev:4.70;Empties700F1MeanIntensity:29.58;Empties750F1IntensityStdDev:5.73;Empties750F1MeanIntensity:34.11;EmptiesIGrowth:357.66;EmptiesReflectiveIntensityStdDev:311.14;EmptiesReflectiveMeanIntensity:11792.97;Errors:;F2minusF1Shift:-0.8;FluorescenceClassification:Normal;Focus_FracImageLost:0.00;FocusScoresAvg:3.41;FocusScoresImageCenter:4.92;FocusScoresMax:5.13;FocusScoresMedian:3.43;FractionImageDebris:0.0844;FractionWellsDebris:0.0959;ImageQualityScoreIfUnpegged:1.00;IndexingWellsMissingFromFov:0;IndexingWellsTotalLostBothVisibleAndMissing:0;IndexingWellsVisibleInFovButRemoved:0;L1DR time (ms):28174;NetBeadFillRate:36.43;NormalizedFillPercentage:051.96;Notes:Xtalk: usable out of spec wv 577 sr 4 dir 5 value 0.038. | Xtalk: usable out of spec wv 577 sr 8 dir 5 value 0.046.;NumberDecSaturated:3;NumberEmpties:56681;NumberFlagged_DeadPixels:66.0000;NumberFlagged_Debris:18446.0000;NumberFlagged_MissingNeighbor:3146.0000;NumberFlagged_NeighborSaturated:18.0000;NumberFlagged_OddlyRecurrentClassification:1050.0000;NumberFlagged_OutOfBounds:4165.0000;NumberFlagged_SaturatedPixelDecodingFour:03.0000;NumberInvalidWells:24156;NumberPositiveEmpties:23;NumberPositives:3506;NumberResSaturated:0;NumberSaturatedWithoutDebris:1;NumberValidUnclassified:50279.00;NumberValidWells:168267;OddlyAggregatedFlag:2;OddlyAggregatedLocations:;OddlyAggregatedWorst:0;OffsetW488:( 0, 0 );OffsetW577:( 0, 0 );OffsetW647:( 0, 0 );OffsetW700:( 0, 0 );OffsetW750:( 0, 0 );ResorufinUnsaturated:0;ResorufinUnsaturatedMutated:0;ResorufinUnsaturaterNumberInFit:14;SaturatedDecodingWells:1;SuspiciousWells:26872;SuspiciousWellsFlagged:1;SuspiciousWellsLowerThreshold:5;Warnings:;WhiteLightChannelMedian:10026;XtalkSubregionsOutOfSpec:0</t>
  </si>
  <si>
    <t>0002_DecodingIntensityStdDev_577F1:40.211;0002_DecodingIntensityStdDev_577F2:81.468;0002_MeanDecodingIntensity_577F1:401.67;0002_MeanDecodingIntensity_577F2:410.90;0002AEB:00.0350;0002DecodingIntensityStdDev:376.367;0002DecodingIntensityStdDev_488:376.367;0002DecodingIntensityStdDev_647:5.115;0002DecodingIntensityStdDev_700:5.091;0002DecodingIntensityStdDev_750:6.448;0002F_on:0.0344;0002FillPercent:015.15;0002KineticInconsistentLower:0;0002KineticInconsistentMetadata:-529.12817122811|2.4;0002MeanDecodingIntensity:1590.08;0002MeanDecodingIntensity_488:1590.08;0002MeanDecodingIntensity_647:35.05;0002MeanDecodingIntensity_700:30.61;0002MeanDecodingIntensity_750:35.62;0002ReflectiveIntensity:13267.49;0002ReflectiveIntensityStdDev:611.713;0002SealTimeEstimate:19.5;0021_DecodingIntensityStdDev_577F1:33.285;0021_DecodingIntensityStdDev_577F2:65.777;0021_MeanDecodingIntensity_577F1:393.77;0021_MeanDecodingIntensity_577F2:400.20;0021AEB:00.0188;0021DecodingIntensityStdDev:92.561;0021DecodingIntensityStdDev_488:23.576;0021DecodingIntensityStdDev_647:92.561;0021DecodingIntensityStdDev_700:10.782;0021DecodingIntensityStdDev_750:6.856;0021F_on:0.0186;0021FillPercent:009.42;0021KineticInconsistentLower:0;0021KineticInconsistentMetadata:-527.644273338729|2.41;0021MeanDecodingIntensity:427.52;0021MeanDecodingIntensity_488:140.58;0021MeanDecodingIntensity_647:427.52;0021MeanDecodingIntensity_700:69.70;0021MeanDecodingIntensity_750:35.82;0021ReflectiveIntensity:13021.83;0021ReflectiveIntensityStdDev:507.006;0021SealTimeEstimate:19.4;0201_DecodingIntensityStdDev_577F1:34.869;0201_DecodingIntensityStdDev_577F2:68.006;0201_MeanDecodingIntensity_577F1:393.65;0201_MeanDecodingIntensity_577F2:400.61;0201AEB:00.0241;0201DecodingIntensityStdDev:119.064;0201DecodingIntensityStdDev_488:25.771;0201DecodingIntensityStdDev_647:21.099;0201DecodingIntensityStdDev_700:119.064;0201DecodingIntensityStdDev_750:11.452;0201F_on:0.0238;0201FillPercent:010.71;0201KineticInconsistentLower:0;0201KineticInconsistentMetadata:-503.034618236144|2.36;0201MeanDecodingIntensity:506.54;0201MeanDecodingIntensity_488:142.76;0201MeanDecodingIntensity_647:100.25;0201MeanDecodingIntensity_700:506.54;0201MeanDecodingIntensity_750:66.20;0201ReflectiveIntensity:13053.49;0201ReflectiveIntensityStdDev:526.015;0201SealTimeEstimate:20.1;2001_DecodingIntensityStdDev_577F1:36.810;2001_DecodingIntensityStdDev_577F2:68.718;2001_MeanDecodingIntensity_577F1:425.83;2001_MeanDecodingIntensity_577F2:433.04;2001AEB:00.0258;2001DecodingIntensityStdDev:237.425;2001DecodingIntensityStdDev_488:26.302;2001DecodingIntensityStdDev_647:5.661;2001DecodingIntensityStdDev_700:5.812;2001DecodingIntensityStdDev_750:237.425;2001F_on:0.0255;2001FillPercent:010.33;2001KineticInconsistentLower:0;2001KineticInconsistentMetadata:-534.732374585297|2.36;2001MeanDecodingIntensity:988.51;2001MeanDecodingIntensity_488:142.67;2001MeanDecodingIntensity_647:38.29;2001MeanDecodingIntensity_700:34.85;2001MeanDecodingIntensity_750:988.51;2001ReflectiveIntensity:13075.28;2001ReflectiveIntensityStdDev:551.653;2001SealTimeEstimate:20.1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13.26;Empties488F1MeanIntensity:68.29;Empties577F1IntensityStdDev:18.41;Empties577F1MeanIntensity:361.77;Empties577F2IntensityStdDev:23.08;Empties577F2MeanIntensity:360.11;Empties647F1IntensityStdDev:4.64;Empties647F1MeanIntensity:31.65;Empties700F1IntensityStdDev:4.75;Empties700F1MeanIntensity:29.71;Empties750F1IntensityStdDev:5.72;Empties750F1MeanIntensity:34.17;EmptiesIGrowth:315.50;EmptiesReflectiveIntensityStdDev:300.88;EmptiesReflectiveMeanIntensity:11812.63;Errors:;F2minusF1Shift:-0.9;FluorescenceClassification:Normal;Focus_FracImageLost:0.00;FocusScoresAvg:3.27;FocusScoresImageCenter:4.87;FocusScoresMax:5.13;FocusScoresMedian:3.42;FractionImageDebris:0.1235;FractionWellsDebris:0.1351;ImageQualityScoreIfUnpegged:1.00;IndexingWellsMissingFromFov:0;IndexingWellsTotalLostBothVisibleAndMissing:0;IndexingWellsVisibleInFovButRemoved:0;L1DR time (ms):25621;NetBeadFillRate:31.99;NormalizedFillPercentage:045.61;Notes:Xtalk: usable out of spec wv 577 sr 9 dir 5 value 0.038. | Xtalk: usable out of spec wv 488 sr 4 dir 5 value 0.038.;NumberDecSaturated:0;NumberEmpties:61738;NumberFlagged_DeadPixels:73.0000;NumberFlagged_Debris:25963.0000;NumberFlagged_MissingNeighbor:3225.0000;NumberFlagged_OutOfBounds:4041.0000;NumberInvalidWells:30361;NumberPositiveEmpties:22;NumberPositives:3360;NumberResSaturated:0;NumberSaturatedWithoutDebris:0;NumberValidUnclassified:48314.00;NumberValidWells:161828;OddlyAggregatedFlag:2;OddlyAggregatedLocations:;OddlyAggregatedWorst:0;OffsetW488:( 0, 0 );OffsetW577:( 0, 0 );OffsetW647:( 0, 0 );OffsetW700:( 0, 0 );OffsetW750:( 0, -1 );ResorufinUnsaturated:0;ResorufinUnsaturatedMutated:0;ResorufinUnsaturaterNumberInFit:24;SaturatedDecodingWells:0;SuspiciousWells:22792;SuspiciousWellsFlagged:1;SuspiciousWellsLowerThreshold:5;Warnings:;WhiteLightChannelMedian:10050;XtalkSubregionsOutOfSpec:0</t>
  </si>
  <si>
    <t>high-1-4-2</t>
  </si>
  <si>
    <t>Plate 1 - Well E11</t>
  </si>
  <si>
    <t>0002_DecodingIntensityStdDev_577F1:39.165;0002_DecodingIntensityStdDev_577F2:78.995;0002_MeanDecodingIntensity_577F1:398.68;0002_MeanDecodingIntensity_577F2:409.25;0002AEB:00.0348;0002DecodingIntensityStdDev:374.365;0002DecodingIntensityStdDev_488:374.365;0002DecodingIntensityStdDev_647:4.926;0002DecodingIntensityStdDev_700:4.888;0002DecodingIntensityStdDev_750:6.312;0002F_on:0.0342;0002FillPercent:016.03;0002KineticInconsistentLower:0;0002KineticInconsistentMetadata:-552.840887821948|2.51;0002MeanDecodingIntensity:1536.68;0002MeanDecodingIntensity_488:1536.68;0002MeanDecodingIntensity_647:34.27;0002MeanDecodingIntensity_700:30.10;0002MeanDecodingIntensity_750:35.04;0002ReflectiveIntensity:13088.32;0002ReflectiveIntensityStdDev:613.595;0002SealTimeEstimate:18.1;0021_DecodingIntensityStdDev_577F1:36.463;0021_DecodingIntensityStdDev_577F2:75.902;0021_MeanDecodingIntensity_577F1:391.68;0021_MeanDecodingIntensity_577F2:400.18;0021AEB:00.0244;0021DecodingIntensityStdDev:92.874;0021DecodingIntensityStdDev_488:23.784;0021DecodingIntensityStdDev_647:92.874;0021DecodingIntensityStdDev_700:11.069;0021DecodingIntensityStdDev_750:6.739;0021F_on:0.0241;0021FillPercent:009.78;0021KineticInconsistentLower:0;0021KineticInconsistentMetadata:-607.276007611709|2.64;0021MeanDecodingIntensity:407.58;0021MeanDecodingIntensity_488:134.56;0021MeanDecodingIntensity_647:407.58;0021MeanDecodingIntensity_700:67.12;0021MeanDecodingIntensity_750:35.25;0021ReflectiveIntensity:12848.10;0021ReflectiveIntensityStdDev:501.157;0021SealTimeEstimate:16.6;0201_DecodingIntensityStdDev_577F1:39.275;0201_DecodingIntensityStdDev_577F2:80.346;0201_MeanDecodingIntensity_577F1:393.39;0201_MeanDecodingIntensity_577F2:402.53;0201AEB:00.0247;0201DecodingIntensityStdDev:129.378;0201DecodingIntensityStdDev_488:49.792;0201DecodingIntensityStdDev_647:48.133;0201DecodingIntensityStdDev_700:129.378;0201DecodingIntensityStdDev_750:15.247;0201F_on:0.0244;0201FillPercent:011.37;0201KineticInconsistentLower:0;0201KineticInconsistentMetadata:-595.314070268167|2.59;0201MeanDecodingIntensity:486.36;0201MeanDecodingIntensity_488:141.11;0201MeanDecodingIntensity_647:102.71;0201MeanDecodingIntensity_700:486.36;0201MeanDecodingIntensity_750:64.36;0201ReflectiveIntensity:12941.45;0201ReflectiveIntensityStdDev:568.991;0201SealTimeEstimate:17.1;2001_DecodingIntensityStdDev_577F1:40.681;2001_DecodingIntensityStdDev_577F2:76.251;2001_MeanDecodingIntensity_577F1:422.41;2001_MeanDecodingIntensity_577F2:431.47;2001AEB:00.0257;2001DecodingIntensityStdDev:253.155;2001DecodingIntensityStdDev_488:78.633;2001DecodingIntensityStdDev_647:11.916;2001DecodingIntensityStdDev_700:7.541;2001DecodingIntensityStdDev_750:253.155;2001F_on:0.0253;2001FillPercent:010.78;2001KineticInconsistentLower:0;2001KineticInconsistentMetadata:-641.724494215625|2.6;2001MeanDecodingIntensity:941.06;2001MeanDecodingIntensity_488:145.41;2001MeanDecodingIntensity_647:38.13;2001MeanDecodingIntensity_700:34.43;2001MeanDecodingIntensity_750:941.06;2001ReflectiveIntensity:12929.29;2001ReflectiveIntensityStdDev:584.586;2001SealTimeEstimate:17.0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11.82;Empties488F1MeanIntensity:65.08;Empties577F1IntensityStdDev:19.10;Empties577F1MeanIntensity:362.06;Empties577F2IntensityStdDev:24.63;Empties577F2MeanIntensity:361.24;Empties647F1IntensityStdDev:4.38;Empties647F1MeanIntensity:31.13;Empties700F1IntensityStdDev:4.34;Empties700F1MeanIntensity:29.16;Empties750F1IntensityStdDev:5.29;Empties750F1MeanIntensity:33.39;EmptiesIGrowth:381.90;EmptiesReflectiveIntensityStdDev:298.77;EmptiesReflectiveMeanIntensity:11736.81;Errors:;F2minusF1Shift:-1.5;FluorescenceClassification:Normal;Focus_FracImageLost:0.00;FocusScoresAvg:3.36;FocusScoresImageCenter:4.75;FocusScoresMax:5.38;FocusScoresMedian:3.37;FractionImageDebris:0.1027;FractionWellsDebris:0.1128;ImageQualityScoreIfUnpegged:1.00;IndexingWellsMissingFromFov:0;IndexingWellsTotalLostBothVisibleAndMissing:0;IndexingWellsVisibleInFovButRemoved:0;L1DR time (ms):26702;NetBeadFillRate:33.65;NormalizedFillPercentage:047.96;Notes:Xtalk: usable out of spec wv 577 sr 4 dir 5 value 0.038. | Xtalk: usable out of spec wv 577 sr 8 dir 5 value 0.048.;NumberDecSaturated:2;NumberEmpties:59433;NumberFlagged_DeadPixels:71.0000;NumberFlagged_Debris:21698.0000;NumberFlagged_MissingNeighbor:2959.0000;NumberFlagged_NeighborSaturated:10.0000;NumberFlagged_OddlyRecurrentClassification:4004.0000;NumberFlagged_OutOfBounds:4135.0000;NumberFlagged_SaturatedPixelDecodingFour:02.0000;NumberInvalidWells:29624;NumberPositiveEmpties:33;NumberPositives:3507;NumberResSaturated:0;NumberSaturatedWithoutDebris:2;NumberValidUnclassified:48601.00;NumberValidWells:162816;OddlyAggregatedFlag:2;OddlyAggregatedLocations:;OddlyAggregatedWorst:0;OffsetW488:( 0, 0 );OffsetW577:( 0, 0 );OffsetW647:( 0, 0 );OffsetW700:( 0, -1 );OffsetW750:( 0, -1 );ResorufinUnsaturated:0;ResorufinUnsaturatedMutated:0;ResorufinUnsaturaterNumberInFit:18;SaturatedDecodingWells:2;SuspiciousWells:23827;SuspiciousWellsFlagged:1;SuspiciousWellsLowerThreshold:5;Warnings:;WhiteLightChannelMedian:9926;XtalkSubregionsOutOfSpec:0</t>
  </si>
  <si>
    <t>0002_DecodingIntensityStdDev_577F1:41.108;0002_DecodingIntensityStdDev_577F2:88.056;0002_MeanDecodingIntensity_577F1:412.05;0002_MeanDecodingIntensity_577F2:421.87;0002AEB:00.0355;0002DecodingIntensityStdDev:364.157;0002DecodingIntensityStdDev_488:364.157;0002DecodingIntensityStdDev_647:4.945;0002DecodingIntensityStdDev_700:4.921;0002DecodingIntensityStdDev_750:6.296;0002F_on:0.0349;0002FillPercent:014.93;0002KineticInconsistentLower:0;0002KineticInconsistentMetadata:-650.972652512878|2.66;0002MeanDecodingIntensity:1616.11;0002MeanDecodingIntensity_488:1616.11;0002MeanDecodingIntensity_647:34.96;0002MeanDecodingIntensity_700:30.50;0002MeanDecodingIntensity_750:35.52;0002ReflectiveIntensity:13329.93;0002ReflectiveIntensityStdDev:586.987;0002SealTimeEstimate:16.4;0021_DecodingIntensityStdDev_577F1:37.238;0021_DecodingIntensityStdDev_577F2:80.088;0021_MeanDecodingIntensity_577F1:404.75;0021_MeanDecodingIntensity_577F2:412.82;0021AEB:00.0258;0021DecodingIntensityStdDev:87.171;0021DecodingIntensityStdDev_488:22.179;0021DecodingIntensityStdDev_647:87.171;0021DecodingIntensityStdDev_700:10.183;0021DecodingIntensityStdDev_750:6.499;0021F_on:0.0255;0021FillPercent:009.02;0021KineticInconsistentLower:0;0021KineticInconsistentMetadata:-666.018788682975|2.7;0021MeanDecodingIntensity:424.16;0021MeanDecodingIntensity_488:141.94;0021MeanDecodingIntensity_647:424.16;0021MeanDecodingIntensity_700:68.83;0021MeanDecodingIntensity_750:35.57;0021ReflectiveIntensity:13092.41;0021ReflectiveIntensityStdDev:493.253;0021SealTimeEstimate:16.0;0201_DecodingIntensityStdDev_577F1:36.520;0201_DecodingIntensityStdDev_577F2:79.872;0201_MeanDecodingIntensity_577F1:405.03;0201_MeanDecodingIntensity_577F2:413.12;0201AEB:00.0259;0201DecodingIntensityStdDev:125.984;0201DecodingIntensityStdDev_488:26.250;0201DecodingIntensityStdDev_647:20.973;0201DecodingIntensityStdDev_700:125.984;0201DecodingIntensityStdDev_750:11.659;0201F_on:0.0256;0201FillPercent:010.56;0201KineticInconsistentLower:0;0201KineticInconsistentMetadata:-662.931237868965|2.71;0201MeanDecodingIntensity:504.67;0201MeanDecodingIntensity_488:145.06;0201MeanDecodingIntensity_647:99.10;0201MeanDecodingIntensity_700:504.67;0201MeanDecodingIntensity_750:65.25;0201ReflectiveIntensity:13155.06;0201ReflectiveIntensityStdDev:525.027;0201SealTimeEstimate:15.9;2001_DecodingIntensityStdDev_577F1:39.767;2001_DecodingIntensityStdDev_577F2:81.143;2001_MeanDecodingIntensity_577F1:435.32;2001_MeanDecodingIntensity_577F2:443.70;2001AEB:00.0275;2001DecodingIntensityStdDev:237.454;2001DecodingIntensityStdDev_488:25.793;2001DecodingIntensityStdDev_647:5.465;2001DecodingIntensityStdDev_700:5.795;2001DecodingIntensityStdDev_750:237.454;2001F_on:0.0272;2001FillPercent:010.31;2001KineticInconsistentLower:0;2001KineticInconsistentMetadata:-734.923516482471|2.75;2001MeanDecodingIntensity:951.55;2001MeanDecodingIntensity_488:144.36;2001MeanDecodingIntensity_647:38.09;2001MeanDecodingIntensity_700:34.67;2001MeanDecodingIntensity_750:951.55;2001ReflectiveIntensity:13146.64;2001ReflectiveIntensityStdDev:535.145;2001SealTimeEstimate:15.5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12.17;Empties488F1MeanIntensity:71.46;Empties577F1IntensityStdDev:18.13;Empties577F1MeanIntensity:373.62;Empties577F2IntensityStdDev:21.38;Empties577F2MeanIntensity:371.40;Empties647F1IntensityStdDev:4.29;Empties647F1MeanIntensity:31.55;Empties700F1IntensityStdDev:4.32;Empties700F1MeanIntensity:29.54;Empties750F1IntensityStdDev:5.26;Empties750F1MeanIntensity:34.04;EmptiesIGrowth:395.89;EmptiesReflectiveIntensityStdDev:307.50;EmptiesReflectiveMeanIntensity:11858.76;Errors:;F2minusF1Shift:-0.7;FluorescenceClassification:Normal;Focus_FracImageLost:0.00;FocusScoresAvg:3.48;FocusScoresImageCenter:4.69;FocusScoresMax:5.26;FocusScoresMedian:3.39;FractionImageDebris:0.1468;FractionWellsDebris:0.1268;ImageQualityScoreIfUnpegged:1.00;IndexingWellsMissingFromFov:0;IndexingWellsTotalLostBothVisibleAndMissing:0;IndexingWellsVisibleInFovButRemoved:0;L1DR time (ms):24606;NetBeadFillRate:31.46;NormalizedFillPercentage:044.82;Notes:Xtalk: usable out of spec wv 577 sr 4 dir 5 value 0.038.;NumberDecSaturated:0;NumberEmpties:60697;NumberFlagged_DeadPixels:76.0000;NumberFlagged_Debris:23515.0000;NumberFlagged_MissingNeighbor:10533.0000;NumberFlagged_OddlyRecurrentClassification:8510.0000;NumberFlagged_OutOfBounds:3729.0000;NumberInvalidWells:28718;NumberPositiveEmpties:18;NumberPositives:2948;NumberResSaturated:0;NumberSaturatedWithoutDebris:0;NumberValidUnclassified:46717.00;NumberValidWells:156707;OddlyAggregatedFlag:2;OddlyAggregatedLocations:;OddlyAggregatedWorst:0;OffsetW488:( 0, 0 );OffsetW577:( 0, 0 );OffsetW647:( 0, 0 );OffsetW700:( 0, 0 );OffsetW750:( 0, -1 );ResorufinUnsaturated:0;ResorufinUnsaturatedMutated:0;ResorufinUnsaturaterNumberInFit:25;SaturatedDecodingWells:0;SuspiciousWells:21467;SuspiciousWellsFlagged:1;SuspiciousWellsLowerThreshold:5;Warnings:;WhiteLightChannelMedian:10007;XtalkSubregionsOutOfSpec:0</t>
  </si>
  <si>
    <t>Canceled</t>
  </si>
  <si>
    <t>InstrumentControl.NotEnoughLiquidFoundForSbg;ProcessControl.JobCanceled</t>
  </si>
  <si>
    <t>high-1-4-1</t>
  </si>
  <si>
    <t>Plate 1 - Well F11</t>
  </si>
  <si>
    <t>InstrumentControl.NoLiquidFoundForSbg;ProcessControl.JobCanceled</t>
  </si>
  <si>
    <t>high-1-2-6</t>
  </si>
  <si>
    <t>Plate 2 - Well A1</t>
  </si>
  <si>
    <t>p2</t>
  </si>
  <si>
    <t>high-1-2-5</t>
  </si>
  <si>
    <t>Plate 2 - Well B1</t>
  </si>
  <si>
    <t>high-1-2-4</t>
  </si>
  <si>
    <t>sz_tnfa2</t>
  </si>
  <si>
    <t>Plate 2 - Well C1</t>
  </si>
  <si>
    <t>0002_DecodingIntensityStdDev_577F1:47.225;0002_DecodingIntensityStdDev_577F2:98.946;0002_MeanDecodingIntensity_577F1:435.86;0002_MeanDecodingIntensity_577F2:474.86;0002AEB:00.2863;0002DecodingIntensityStdDev:327.886;0002DecodingIntensityStdDev_488:327.886;0002DecodingIntensityStdDev_647:4.734;0002DecodingIntensityStdDev_700:4.648;0002DecodingIntensityStdDev_750:5.710;0002F_on:0.2490;0002FillPercent:013.50;0002KineticInconsistentLower:0;0002KineticInconsistentMetadata:-504.468708793752|2.31;0002MeanDecodingIntensity:1557.28;0002MeanDecodingIntensity_488:1557.28;0002MeanDecodingIntensity_647:34.76;0002MeanDecodingIntensity_700:30.09;0002MeanDecodingIntensity_750:34.55;0002ReflectiveIntensity:13624.12;0002ReflectiveIntensityStdDev:628.850;0002SealTimeEstimate:20.9;0021_DecodingIntensityStdDev_577F1:50.146;0021_DecodingIntensityStdDev_577F2:107.383;0021_MeanDecodingIntensity_577F1:433.26;0021_MeanDecodingIntensity_577F2:476.26;0021AEB:00.2917;0021DecodingIntensityStdDev:78.534;0021DecodingIntensityStdDev_488:21.446;0021DecodingIntensityStdDev_647:78.534;0021DecodingIntensityStdDev_700:9.427;0021DecodingIntensityStdDev_750:5.951;0021F_on:0.2530;0021FillPercent:008.10;0021KineticInconsistentLower:0;0021KineticInconsistentMetadata:-456.592056491302|2.22;0021MeanDecodingIntensity:419.38;0021MeanDecodingIntensity_488:135.78;0021MeanDecodingIntensity_647:419.38;0021MeanDecodingIntensity_700:68.28;0021MeanDecodingIntensity_750:34.64;0021ReflectiveIntensity:13405.90;0021ReflectiveIntensityStdDev:563.989;0021SealTimeEstimate:22.5;0201_DecodingIntensityStdDev_577F1:50.901;0201_DecodingIntensityStdDev_577F2:107.737;0201_MeanDecodingIntensity_577F1:432.83;0201_MeanDecodingIntensity_577F2:475.82;0201AEB:00.3368;0201DecodingIntensityStdDev:111.531;0201DecodingIntensityStdDev_488:26.137;0201DecodingIntensityStdDev_647:17.877;0201DecodingIntensityStdDev_700:111.531;0201DecodingIntensityStdDev_750:10.782;0201F_on:0.2859;0201FillPercent:009.41;0201KineticInconsistentLower:0;0201KineticInconsistentMetadata:-453.200988250942|2.21;0201MeanDecodingIntensity:487.99;0201MeanDecodingIntensity_488:138.47;0201MeanDecodingIntensity_647:97.29;0201MeanDecodingIntensity_700:487.99;0201MeanDecodingIntensity_750:63.78;0201ReflectiveIntensity:13454.34;0201ReflectiveIntensityStdDev:584.467;0201SealTimeEstimate:22.7;2001_DecodingIntensityStdDev_577F1:49.245;2001_DecodingIntensityStdDev_577F2:100.692;2001_MeanDecodingIntensity_577F1:463.00;2001_MeanDecodingIntensity_577F2:505.29;2001AEB:00.3971;2001DecodingIntensityStdDev:217.760;2001DecodingIntensityStdDev_488:24.722;2001DecodingIntensityStdDev_647:8.179;2001DecodingIntensityStdDev_700:5.654;2001DecodingIntensityStdDev_750:217.760;2001F_on:0.3277;2001FillPercent:009.07;2001KineticInconsistentLower:0;2001KineticInconsistentMetadata:-447.386965336789|2.12;2001MeanDecodingIntensity:936.91;2001MeanDecodingIntensity_488:138.21;2001MeanDecodingIntensity_647:38.18;2001MeanDecodingIntensity_700:34.30;2001MeanDecodingIntensity_750:936.91;2001ReflectiveIntensity:13443.69;2001ReflectiveIntensityStdDev:585.201;2001SealTimeEstimate:24.7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11.39;Empties488F1MeanIntensity:66.69;Empties577F1IntensityStdDev:29.95;Empties577F1MeanIntensity:380.46;Empties577F2IntensityStdDev:57.37;Empties577F2MeanIntensity:379.33;Empties647F1IntensityStdDev:4.27;Empties647F1MeanIntensity:31.46;Empties700F1IntensityStdDev:4.22;Empties700F1MeanIntensity:29.23;Empties750F1IntensityStdDev:5.03;Empties750F1MeanIntensity:33.27;EmptiesIGrowth:346.53;EmptiesReflectiveIntensityStdDev:412.24;EmptiesReflectiveMeanIntensity:12154.75;Errors:;F2minusF1Shift:-1.4;FluorescenceClassification:Normal;Focus_FracImageLost:0.20;FocusScoresAvg:2.85;FocusScoresImageCenter:4.38;FocusScoresMax:8.04;FocusScoresMedian:3.32;FractionImageDebris:0.3169;FractionWellsDebris:0.1350;ImageQualityScoreIfUnpegged:1.00;IndexingWellsMissingFromFov:18018;IndexingWellsTotalLostBothVisibleAndMissing:21880;IndexingWellsVisibleInFovButRemoved:3862;L1DR time (ms):24311;NetBeadFillRate:28.14;NormalizedFillPercentage:040.08;Notes:Indexing: stripe across bottom | Indexing: stripe across right | Xtalk: too few wells to calc wv 577 sr 3 samples 0 | Xtalk: too few wells to calc wv 750 sr 3 samples 0 | Xtalk: too few wells to calc wv 577 sr 7 samples 0 | Xtalk: too few wells to calc wv 750 sr 7 samples 0 | Xtalk: usable out of spec wv 577 sr 8 dir 5 value 0.046. | Xtalk: usable out of spec wv 577 sr 9 dir 5 value 0.036. | Xtalk: too few wells to calc wv 700 sr 3 samples 0 | Xtalk: too few wells to calc wv 647 sr 3 samples 0 | Xtalk: too few wells to calc wv 700 sr 7 samples 0 | Xtalk: too few wells to calc wv 647 sr 7 samples 0 | Xtalk: too few wells to calc wv 488 sr 3 samples 0 | Xtalk: too few wells to calc wv 488 sr 7 samples 0;NumberDecSaturated:0;NumberEmpties:54006;NumberFlagged_DeadPixels:59.0000;NumberFlagged_Debris:20378.0000;NumberFlagged_MissingNeighbor:4353.0000;NumberFlagged_OddlyRecurrentClassification:1680.0000;NumberFlagged_OutOfBounds:2081.0000;NumberFlagged_OutOfFocus:4923.0000;NumberInvalidWells:22550;NumberPositiveEmpties:184;NumberPositives:24015;NumberResSaturated:0;NumberSaturatedWithoutDebris:0;NumberValidUnclassified:38259.00;NumberValidWells:128396;OddlyAggregatedFlag:2;OddlyAggregatedLocations:;OddlyAggregatedWorst:0;OffsetW488:( 0, 0 );OffsetW577:( 0, 0 );OffsetW647:( 0, 0 );OffsetW700:( 0, 0 );OffsetW750:( 0, -1 );ResorufinUnsaturated:0;ResorufinUnsaturatedMutated:0;ResorufinUnsaturaterNumberInFit:92;SaturatedDecodingWells:0;SuspiciousWells:9979;SuspiciousWellsFlagged:1;SuspiciousWellsLowerThreshold:10;Warnings:;WhiteLightChannelMedian:10901;XtalkSubregionsOutOfSpec:0</t>
  </si>
  <si>
    <t>0002_DecodingIntensityStdDev_577F1:58.265;0002_DecodingIntensityStdDev_577F2:115.966;0002_MeanDecodingIntensity_577F1:432.58;0002_MeanDecodingIntensity_577F2:470.94;0002AEB:00.2264;0002DecodingIntensityStdDev:346.515;0002DecodingIntensityStdDev_488:346.515;0002DecodingIntensityStdDev_647:5.007;0002DecodingIntensityStdDev_700:4.760;0002DecodingIntensityStdDev_750:6.106;0002F_on:0.2026;0002FillPercent:015.22;0002KineticInconsistentLower:0;0002KineticInconsistentMetadata:-436.255312665643|2.15;0002MeanDecodingIntensity:1607.64;0002MeanDecodingIntensity_488:1607.64;0002MeanDecodingIntensity_647:34.93;0002MeanDecodingIntensity_700:30.11;0002MeanDecodingIntensity_750:35.01;0002ReflectiveIntensity:13330.95;0002ReflectiveIntensityStdDev:615.145;0002SealTimeEstimate:24.0;0021_DecodingIntensityStdDev_577F1:54.131;0021_DecodingIntensityStdDev_577F2:110.468;0021_MeanDecodingIntensity_577F1:430.39;0021_MeanDecodingIntensity_577F2:473.04;0021AEB:00.2890;0021DecodingIntensityStdDev:87.079;0021DecodingIntensityStdDev_488:22.246;0021DecodingIntensityStdDev_647:87.079;0021DecodingIntensityStdDev_700:10.240;0021DecodingIntensityStdDev_750:6.462;0021F_on:0.2510;0021FillPercent:009.13;0021KineticInconsistentLower:0;0021KineticInconsistentMetadata:-439.934339942467|2.17;0021MeanDecodingIntensity:432.20;0021MeanDecodingIntensity_488:137.88;0021MeanDecodingIntensity_647:432.20;0021MeanDecodingIntensity_700:69.87;0021MeanDecodingIntensity_750:35.27;0021ReflectiveIntensity:13105.43;0021ReflectiveIntensityStdDev:523.208;0021SealTimeEstimate:23.6;0201_DecodingIntensityStdDev_577F1:55.166;0201_DecodingIntensityStdDev_577F2:111.583;0201_MeanDecodingIntensity_577F1:429.52;0201_MeanDecodingIntensity_577F2:471.18;0201AEB:00.2809;0201DecodingIntensityStdDev:119.416;0201DecodingIntensityStdDev_488:27.079;0201DecodingIntensityStdDev_647:21.795;0201DecodingIntensityStdDev_700:119.416;0201DecodingIntensityStdDev_750:11.242;0201F_on:0.2449;0201FillPercent:010.68;0201KineticInconsistentLower:0;0201KineticInconsistentMetadata:-425.924559918487|2.14;0201MeanDecodingIntensity:507.84;0201MeanDecodingIntensity_488:140.75;0201MeanDecodingIntensity_647:100.32;0201MeanDecodingIntensity_700:507.84;0201MeanDecodingIntensity_750:66.19;0201ReflectiveIntensity:13162.24;0201ReflectiveIntensityStdDev:560.486;0201SealTimeEstimate:24.2;2001_DecodingIntensityStdDev_577F1:56.571;2001_DecodingIntensityStdDev_577F2:112.714;2001_MeanDecodingIntensity_577F1:461.94;2001_MeanDecodingIntensity_577F2:503.93;2001AEB:00.3223;2001DecodingIntensityStdDev:241.807;2001DecodingIntensityStdDev_488:25.960;2001DecodingIntensityStdDev_647:5.540;2001DecodingIntensityStdDev_700:5.656;2001DecodingIntensityStdDev_750:241.807;2001F_on:0.2755;2001FillPercent:010.14;2001KineticInconsistentLower:0;2001KineticInconsistentMetadata:-431.764287153484|2.08;2001MeanDecodingIntensity:1003.85;2001MeanDecodingIntensity_488:140.59;2001MeanDecodingIntensity_647:38.32;2001MeanDecodingIntensity_700:34.38;2001MeanDecodingIntensity_750:1003.85;2001ReflectiveIntensity:13155.12;2001ReflectiveIntensityStdDev:573.144;2001SealTimeEstimate:25.6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11.63;Empties488F1MeanIntensity:64.47;Empties577F1IntensityStdDev:36.02;Empties577F1MeanIntensity:371.95;Empties577F2IntensityStdDev:66.98;Empties577F2MeanIntensity:371.82;Empties647F1IntensityStdDev:4.44;Empties647F1MeanIntensity:31.34;Empties700F1IntensityStdDev:4.38;Empties700F1MeanIntensity:29.22;Empties750F1IntensityStdDev:5.32;Empties750F1MeanIntensity:33.50;EmptiesIGrowth:352.02;EmptiesReflectiveIntensityStdDev:368.90;EmptiesReflectiveMeanIntensity:11910.34;Errors:;F2minusF1Shift:-4.9;FluorescenceClassification:Normal;Focus_FracImageLost:0.00;FocusScoresAvg:3.68;FocusScoresImageCenter:4.68;FocusScoresMax:5.32;FocusScoresMedian:3.69;FractionImageDebris:0.0605;FractionWellsDebris:0.0686;ImageQualityScoreIfUnpegged:1.00;IndexingWellsMissingFromFov:0;IndexingWellsTotalLostBothVisibleAndMissing:0;IndexingWellsVisibleInFovButRemoved:0;L1DR time (ms):29168;NetBeadFillRate:31.70;NormalizedFillPercentage:045.17;Notes:;NumberDecSaturated:2;NumberEmpties:66874;NumberFlagged_DeadPixels:68.0000;NumberFlagged_Debris:13199.0000;NumberFlagged_MissingNeighbor:3459.0000;NumberFlagged_NeighborSaturated:12.0000;NumberFlagged_OddlyRecurrentClassification:1383.0000;NumberFlagged_OutOfBounds:4157.0000;NumberFlagged_SaturatedPixelDecodingFour:02.0000;NumberInvalidWells:18503;NumberPositiveEmpties:250;NumberPositives:30380;NumberResSaturated:0;NumberSaturatedWithoutDebris:2;NumberValidUnclassified:51843.00;NumberValidWells:173811;OddlyAggregatedFlag:2;OddlyAggregatedLocations:;OddlyAggregatedWorst:0;OffsetW488:( 0, 0 );OffsetW577:( 0, 0 );OffsetW647:( 0, 0 );OffsetW700:( 0, -1 );OffsetW750:( 0, -1 );ResorufinUnsaturated:0;ResorufinUnsaturatedMutated:0;ResorufinUnsaturaterNumberInFit:178;SaturatedDecodingWells:2;SuspiciousWells:27840;SuspiciousWellsFlagged:1;SuspiciousWellsLowerThreshold:5;Warnings:;WhiteLightChannelMedian:9825;XtalkSubregionsOutOfSpec:0</t>
  </si>
  <si>
    <t>0002_DecodingIntensityStdDev_577F1:38.840;0002_DecodingIntensityStdDev_577F2:87.463;0002_MeanDecodingIntensity_577F1:432.86;0002_MeanDecodingIntensity_577F2:469.22;0002AEB:00.3058;0002DecodingIntensityStdDev:361.723;0002DecodingIntensityStdDev_488:361.723;0002DecodingIntensityStdDev_647:4.975;0002DecodingIntensityStdDev_700:4.944;0002DecodingIntensityStdDev_750:6.191;0002F_on:0.2634;0002FillPercent:015.47;0002KineticInconsistentLower:0;0002KineticInconsistentMetadata:-621.982140574343|2.6;0002MeanDecodingIntensity:1609.11;0002MeanDecodingIntensity_488:1609.11;0002MeanDecodingIntensity_647:34.88;0002MeanDecodingIntensity_700:30.41;0002MeanDecodingIntensity_750:35.16;0002ReflectiveIntensity:13387.77;0002ReflectiveIntensityStdDev:606.974;0002SealTimeEstimate:17.0;0021_DecodingIntensityStdDev_577F1:36.488;0021_DecodingIntensityStdDev_577F2:84.931;0021_MeanDecodingIntensity_577F1:428.24;0021_MeanDecodingIntensity_577F2:467.78;0021AEB:00.2993;0021DecodingIntensityStdDev:81.315;0021DecodingIntensityStdDev_488:23.174;0021DecodingIntensityStdDev_647:81.315;0021DecodingIntensityStdDev_700:9.821;0021DecodingIntensityStdDev_750:6.417;0021F_on:0.2587;0021FillPercent:009.05;0021KineticInconsistentLower:0;0021KineticInconsistentMetadata:-594.927555512793|2.56;0021MeanDecodingIntensity:414.08;0021MeanDecodingIntensity_488:139.45;0021MeanDecodingIntensity_647:414.08;0021MeanDecodingIntensity_700:68.51;0021MeanDecodingIntensity_750:35.24;0021ReflectiveIntensity:13146.30;0021ReflectiveIntensityStdDev:525.684;0021SealTimeEstimate:17.5;0201_DecodingIntensityStdDev_577F1:39.243;0201_DecodingIntensityStdDev_577F2:89.431;0201_MeanDecodingIntensity_577F1:428.69;0201_MeanDecodingIntensity_577F2:468.26;0201AEB:00.3112;0201DecodingIntensityStdDev:124.175;0201DecodingIntensityStdDev_488:28.828;0201DecodingIntensityStdDev_647:23.988;0201DecodingIntensityStdDev_700:124.175;0201DecodingIntensityStdDev_750:11.764;0201F_on:0.2675;0201FillPercent:010.55;0201KineticInconsistentLower:0;0201KineticInconsistentMetadata:-533.682188765088|2.42;0201MeanDecodingIntensity:494.76;0201MeanDecodingIntensity_488:143.32;0201MeanDecodingIntensity_647:97.76;0201MeanDecodingIntensity_700:494.76;0201MeanDecodingIntensity_750:64.08;0201ReflectiveIntensity:13232.18;0201ReflectiveIntensityStdDev:575.166;0201SealTimeEstimate:19.2;2001_DecodingIntensityStdDev_577F1:39.267;2001_DecodingIntensityStdDev_577F2:84.652;2001_MeanDecodingIntensity_577F1:457.36;2001_MeanDecodingIntensity_577F2:495.76;2001AEB:00.3350;2001DecodingIntensityStdDev:229.849;2001DecodingIntensityStdDev_488:26.736;2001DecodingIntensityStdDev_647:5.535;2001DecodingIntensityStdDev_700:5.965;2001DecodingIntensityStdDev_750:229.849;2001F_on:0.2846;2001FillPercent:010.05;2001KineticInconsistentLower:0;2001KineticInconsistentMetadata:-526.598304285186|2.32;2001MeanDecodingIntensity:917.06;2001MeanDecodingIntensity_488:142.34;2001MeanDecodingIntensity_647:38.03;2001MeanDecodingIntensity_700:34.46;2001MeanDecodingIntensity_750:917.06;2001ReflectiveIntensity:13222.91;2001ReflectiveIntensityStdDev:566.257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11.78;Empties488F1MeanIntensity:70.20;Empties577F1IntensityStdDev:21.63;Empties577F1MeanIntensity:381.19;Empties577F2IntensityStdDev:27.82;Empties577F2MeanIntensity:377.30;Empties647F1IntensityStdDev:4.30;Empties647F1MeanIntensity:31.46;Empties700F1IntensityStdDev:4.28;Empties700F1MeanIntensity:29.40;Empties750F1IntensityStdDev:5.06;Empties750F1MeanIntensity:33.64;EmptiesIGrowth:203.94;EmptiesReflectiveIntensityStdDev:338.48;EmptiesReflectiveMeanIntensity:11950.98;Errors:;F2minusF1Shift:-0.5;FluorescenceClassification:Normal;Focus_FracImageLost:0.00;FocusScoresAvg:3.72;FocusScoresImageCenter:4.47;FocusScoresMax:5.04;FocusScoresMedian:3.76;FractionImageDebris:0.0754;FractionWellsDebris:0.0869;ImageQualityScoreIfUnpegged:1.00;IndexingWellsMissingFromFov:0;IndexingWellsTotalLostBothVisibleAndMissing:0;IndexingWellsVisibleInFovButRemoved:0;L1DR time (ms):28903;NetBeadFillRate:31.67;NormalizedFillPercentage:045.13;Notes:;NumberDecSaturated:1;NumberEmpties:65928;NumberFlagged_DeadPixels:76.0000;NumberFlagged_Debris:16737.0000;NumberFlagged_MissingNeighbor:2686.0000;NumberFlagged_NeighborSaturated:04.0000;NumberFlagged_OddlyRecurrentClassification:1549.0000;NumberFlagged_OutOfBounds:4170.0000;NumberFlagged_SaturatedPixelDecodingFour:01.0000;NumberInvalidWells:21469;NumberPositiveEmpties:66;NumberPositives:33779;NumberResSaturated:0;NumberSaturatedWithoutDebris:1;NumberValidUnclassified:51040.00;NumberValidWells:171189;OddlyAggregatedFlag:2;OddlyAggregatedLocations:;OddlyAggregatedWorst:0;OffsetW488:( 0, 0 );OffsetW577:( 0, 0 );OffsetW647:( 0, 0 );OffsetW700:( 0, 0 );OffsetW750:( 0, -1 );ResorufinUnsaturated:0;ResorufinUnsaturatedMutated:0;ResorufinUnsaturaterNumberInFit:20;SaturatedDecodingWells:1;SuspiciousWells:20004;SuspiciousWellsFlagged:1;SuspiciousWellsLowerThreshold:6;Warnings:;WhiteLightChannelMedian:9897;XtalkSubregionsOutOfSpec:0</t>
  </si>
  <si>
    <t>high-1-2-3</t>
  </si>
  <si>
    <t>Plate 2 - Well D1</t>
  </si>
  <si>
    <t>0002_DecodingIntensityStdDev_577F1:42.681;0002_DecodingIntensityStdDev_577F2:79.889;0002_MeanDecodingIntensity_577F1:394.86;0002_MeanDecodingIntensity_577F2:402.54;0002AEB:00.0319;0002DecodingIntensityStdDev:338.518;0002DecodingIntensityStdDev_488:338.518;0002DecodingIntensityStdDev_647:4.651;0002DecodingIntensityStdDev_700:4.369;0002DecodingIntensityStdDev_750:5.302;0002F_on:0.0314;0002FillPercent:011.71;0002KineticInconsistentLower:0;0002KineticInconsistentMetadata:-481.774478603834|2.31;0002MeanDecodingIntensity:1682.25;0002MeanDecodingIntensity_488:1682.25;0002MeanDecodingIntensity_647:35.17;0002MeanDecodingIntensity_700:30.01;0002MeanDecodingIntensity_750:34.39;0002ReflectiveIntensity:13679.05;0002ReflectiveIntensityStdDev:615.781;0002SealTimeEstimate:20.9;0021_DecodingIntensityStdDev_577F1:34.493;0021_DecodingIntensityStdDev_577F2:61.777;0021_MeanDecodingIntensity_577F1:387.46;0021_MeanDecodingIntensity_577F2:392.72;0021AEB:00.0190;0021DecodingIntensityStdDev:84.613;0021DecodingIntensityStdDev_488:21.196;0021DecodingIntensityStdDev_647:84.613;0021DecodingIntensityStdDev_700:9.780;0021DecodingIntensityStdDev_750:5.394;0021F_on:0.0188;0021FillPercent:007.08;0021KineticInconsistentLower:0;0021KineticInconsistentMetadata:-499.129606688313|2.35;0021MeanDecodingIntensity:452.90;0021MeanDecodingIntensity_488:142.49;0021MeanDecodingIntensity_647:452.90;0021MeanDecodingIntensity_700:72.04;0021MeanDecodingIntensity_750:34.42;0021ReflectiveIntensity:13449.06;0021ReflectiveIntensityStdDev:572.946;0021SealTimeEstimate:20.3;0201_DecodingIntensityStdDev_577F1:36.230;0201_DecodingIntensityStdDev_577F2:66.051;0201_MeanDecodingIntensity_577F1:386.25;0201_MeanDecodingIntensity_577F2:391.51;0201AEB:00.0174;0201DecodingIntensityStdDev:95.535;0201DecodingIntensityStdDev_488:22.290;0201DecodingIntensityStdDev_647:13.789;0201DecodingIntensityStdDev_700:95.535;0201DecodingIntensityStdDev_750:9.121;0201F_on:0.0172;0201FillPercent:007.64;0201KineticInconsistentLower:0;0201KineticInconsistentMetadata:-492.686995890473|2.34;0201MeanDecodingIntensity:528.95;0201MeanDecodingIntensity_488:143.73;0201MeanDecodingIntensity_647:101.83;0201MeanDecodingIntensity_700:528.95;0201MeanDecodingIntensity_750:66.32;0201ReflectiveIntensity:13465.26;0201ReflectiveIntensityStdDev:569.326;0201SealTimeEstimate:20.4;2001_DecodingIntensityStdDev_577F1:37.422;2001_DecodingIntensityStdDev_577F2:65.440;2001_MeanDecodingIntensity_577F1:420.36;2001_MeanDecodingIntensity_577F2:425.85;2001AEB:00.0210;2001DecodingIntensityStdDev:204.257;2001DecodingIntensityStdDev_488:22.525;2001DecodingIntensityStdDev_647:4.930;2001DecodingIntensityStdDev_700:4.931;2001DecodingIntensityStdDev_750:204.257;2001F_on:0.0208;2001FillPercent:007.43;2001KineticInconsistentLower:0;2001KineticInconsistentMetadata:-477.474763950548|2.24;2001MeanDecodingIntensity:1063.39;2001MeanDecodingIntensity_488:143.68;2001MeanDecodingIntensity_647:38.60;2001MeanDecodingIntensity_700:34.47;2001MeanDecodingIntensity_750:1063.39;2001ReflectiveIntensity:13455.61;2001ReflectiveIntensityStdDev:584.264;2001SealTimeEstimate:22.2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11.26;Empties488F1MeanIntensity:64.59;Empties577F1IntensityStdDev:24.45;Empties577F1MeanIntensity:345.74;Empties577F2IntensityStdDev:25.19;Empties577F2MeanIntensity:344.13;Empties647F1IntensityStdDev:4.20;Empties647F1MeanIntensity:31.62;Empties700F1IntensityStdDev:4.12;Empties700F1MeanIntensity:29.32;Empties750F1IntensityStdDev:4.91;Empties750F1MeanIntensity:33.52;EmptiesIGrowth:274.87;EmptiesReflectiveIntensityStdDev:408.36;EmptiesReflectiveMeanIntensity:12117.19;Errors:;F2minusF1Shift:-0.3;FluorescenceClassification:Normal;Focus_FracImageLost:0.00;FocusScoresAvg:3.53;FocusScoresImageCenter:4.57;FocusScoresMax:5.48;FocusScoresMedian:3.48;FractionImageDebris:0.0383;FractionWellsDebris:0.0443;ImageQualityScoreIfUnpegged:1.00;IndexingWellsMissingFromFov:0;IndexingWellsTotalLostBothVisibleAndMissing:0;IndexingWellsVisibleInFovButRemoved:0;L1DR time (ms):30985;NetBeadFillRate:23.80;NormalizedFillPercentage:033.85;Notes:Xtalk: usable out of spec wv 577 sr 10 dir 4 value 0.038. | Xtalk: usable out of spec wv 488 sr 4 dir 5 value 0.036. | Xtalk: usable out of spec wv 488 sr 8 dir 5 value 0.041.;NumberDecSaturated:0;NumberEmpties:83515;NumberFlagged_DeadPixels:75.0000;NumberFlagged_Debris:8538.0000;NumberFlagged_MissingNeighbor:2443.0000;NumberFlagged_OutOfBounds:4249.0000;NumberInvalidWells:13137;NumberPositiveEmpties:11;NumberPositives:1955;NumberResSaturated:0;NumberSaturatedWithoutDebris:0;NumberValidUnclassified:53343.00;NumberValidWells:179601;OddlyAggregatedFlag:2;OddlyAggregatedLocations:;OddlyAggregatedWorst:0;OffsetW488:( 0, 0 );OffsetW577:( 0, 0 );OffsetW647:( 0, 0 );OffsetW700:( 0, 0 );OffsetW750:( 0, -1 );ResorufinUnsaturated:0;ResorufinUnsaturatedMutated:0;ResorufinUnsaturaterNumberInFit:23;SaturatedDecodingWells:0;SuspiciousWells:24651;SuspiciousWellsFlagged:1;SuspiciousWellsLowerThreshold:5;Warnings:;WhiteLightChannelMedian:9882;XtalkSubregionsOutOfSpec:0</t>
  </si>
  <si>
    <t>0002_DecodingIntensityStdDev_577F1:44.392;0002_DecodingIntensityStdDev_577F2:82.355;0002_MeanDecodingIntensity_577F1:402.32;0002_MeanDecodingIntensity_577F2:410.69;0002AEB:00.0349;0002DecodingIntensityStdDev:379.045;0002DecodingIntensityStdDev_488:379.045;0002DecodingIntensityStdDev_647:5.123;0002DecodingIntensityStdDev_700:5.076;0002DecodingIntensityStdDev_750:6.499;0002F_on:0.0343;0002FillPercent:015.02;0002KineticInconsistentLower:0;0002KineticInconsistentMetadata:-477.167689051847|2.29;0002MeanDecodingIntensity:1764.13;0002MeanDecodingIntensity_488:1764.13;0002MeanDecodingIntensity_647:35.55;0002MeanDecodingIntensity_700:30.92;0002MeanDecodingIntensity_750:35.90;0002ReflectiveIntensity:13811.35;0002ReflectiveIntensityStdDev:639.529;0002SealTimeEstimate:21.3;0021_DecodingIntensityStdDev_577F1:42.119;0021_DecodingIntensityStdDev_577F2:78.659;0021_MeanDecodingIntensity_577F1:395.00;0021_MeanDecodingIntensity_577F2:401.00;0021AEB:00.0198;0021DecodingIntensityStdDev:88.276;0021DecodingIntensityStdDev_488:25.366;0021DecodingIntensityStdDev_647:88.276;0021DecodingIntensityStdDev_700:10.421;0021DecodingIntensityStdDev_750:6.837;0021F_on:0.0196;0021FillPercent:009.27;0021KineticInconsistentLower:0;0021KineticInconsistentMetadata:-495.169441367303|2.33;0021MeanDecodingIntensity:454.49;0021MeanDecodingIntensity_488:151.42;0021MeanDecodingIntensity_647:454.49;0021MeanDecodingIntensity_700:73.27;0021MeanDecodingIntensity_750:36.20;0021ReflectiveIntensity:13555.39;0021ReflectiveIntensityStdDev:590.258;0021SealTimeEstimate:20.6;0201_DecodingIntensityStdDev_577F1:39.642;0201_DecodingIntensityStdDev_577F2:70.788;0201_MeanDecodingIntensity_577F1:394.50;0201_MeanDecodingIntensity_577F2:400.77;0201AEB:00.0226;0201DecodingIntensityStdDev:125.785;0201DecodingIntensityStdDev_488:29.485;0201DecodingIntensityStdDev_647:23.913;0201DecodingIntensityStdDev_700:125.785;0201DecodingIntensityStdDev_750:12.360;0201F_on:0.0223;0201FillPercent:010.76;0201KineticInconsistentLower:0;0201KineticInconsistentMetadata:-473.372858821757|2.3;0201MeanDecodingIntensity:543.29;0201MeanDecodingIntensity_488:153.96;0201MeanDecodingIntensity_647:104.24;0201MeanDecodingIntensity_700:543.29;0201MeanDecodingIntensity_750:68.82;0201ReflectiveIntensity:13615.64;0201ReflectiveIntensityStdDev:619.744;0201SealTimeEstimate:21.1;2001_DecodingIntensityStdDev_577F1:44.864;2001_DecodingIntensityStdDev_577F2:82.571;2001_MeanDecodingIntensity_577F1:426.77;2001_MeanDecodingIntensity_577F2:433.45;2001AEB:00.0238;2001DecodingIntensityStdDev:230.076;2001DecodingIntensityStdDev_488:28.904;2001DecodingIntensityStdDev_647:5.850;2001DecodingIntensityStdDev_700:6.120;2001DecodingIntensityStdDev_750:230.076;2001F_on:0.0235;2001FillPercent:010.27;2001KineticInconsistentLower:0;2001KineticInconsistentMetadata:-541.133704219931|2.35;2001MeanDecodingIntensity:1000.74;2001MeanDecodingIntensity_488:153.38;2001MeanDecodingIntensity_647:38.80;2001MeanDecodingIntensity_700:35.30;2001MeanDecodingIntensity_750:1000.74;2001ReflectiveIntensity:13594.77;2001ReflectiveIntensityStdDev:605.302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14.65;Empties488F1MeanIntensity:72.58;Empties577F1IntensityStdDev:31.09;Empties577F1MeanIntensity:347.81;Empties577F2IntensityStdDev:33.45;Empties577F2MeanIntensity:346.32;Empties647F1IntensityStdDev:4.70;Empties647F1MeanIntensity:31.96;Empties700F1IntensityStdDev:4.85;Empties700F1MeanIntensity:30.08;Empties750F1IntensityStdDev:6.04;Empties750F1MeanIntensity:34.67;EmptiesIGrowth:513.04;EmptiesReflectiveIntensityStdDev:498.83;EmptiesReflectiveMeanIntensity:12265.98;Errors:;F2minusF1Shift:-0.1;FluorescenceClassification:Normal;Focus_FracImageLost:0.00;FocusScoresAvg:3.89;FocusScoresImageCenter:3.67;FocusScoresMax:5.73;FocusScoresMedian:3.81;FractionImageDebris:0.0953;FractionWellsDebris:0.0797;ImageQualityScoreIfUnpegged:1.00;IndexingWellsMissingFromFov:3957;IndexingWellsTotalLostBothVisibleAndMissing:5592;IndexingWellsVisibleInFovButRemoved:1635;L1DR time (ms):28530;NetBeadFillRate:31.79;NormalizedFillPercentage:045.31;Notes:Indexing: stripe across bottom | Xtalk: usable out of spec wv 577 sr 8 dir 5 value 0.041. | Xtalk: usable out of spec wv 577 sr 9 dir 4 value 0.043.;NumberDecSaturated:0;NumberEmpties:64517;NumberFlagged_DeadPixels:74.0000;NumberFlagged_Debris:14897.0000;NumberFlagged_MissingNeighbor:3126.0000;NumberFlagged_OutOfBounds:3113.0000;NumberInvalidWells:18816;NumberPositiveEmpties:13;NumberPositives:2712;NumberResSaturated:0;NumberSaturatedWithoutDebris:0;NumberValidUnclassified:50191.00;NumberValidWells:168161;OddlyAggregatedFlag:2;OddlyAggregatedLocations:;OddlyAggregatedWorst:0;OffsetW488:( 0, 0 );OffsetW577:( 0, 0 );OffsetW647:( 0, 0 );OffsetW700:( 0, 0 );OffsetW750:( 0, 0 );ResorufinUnsaturated:0;ResorufinUnsaturatedMutated:0;ResorufinUnsaturaterNumberInFit:45;SaturatedDecodingWells:0;SuspiciousWells:19545;SuspiciousWellsFlagged:1;SuspiciousWellsLowerThreshold:7;Warnings:;WhiteLightChannelMedian:10007;XtalkSubregionsOutOfSpec:0</t>
  </si>
  <si>
    <t>0002_DecodingIntensityStdDev_577F1:33.893;0002_DecodingIntensityStdDev_577F2:70.345;0002_MeanDecodingIntensity_577F1:409.11;0002_MeanDecodingIntensity_577F2:415.80;0002AEB:00.0325;0002DecodingIntensityStdDev:371.964;0002DecodingIntensityStdDev_488:371.964;0002DecodingIntensityStdDev_647:5.211;0002DecodingIntensityStdDev_700:5.263;0002DecodingIntensityStdDev_750:6.838;0002F_on:0.0320;0002FillPercent:016.35;0002KineticInconsistentLower:0;0002KineticInconsistentMetadata:-713.463924915228|2.84;0002MeanDecodingIntensity:1555.32;0002MeanDecodingIntensity_488:1555.32;0002MeanDecodingIntensity_647:34.85;0002MeanDecodingIntensity_700:30.63;0002MeanDecodingIntensity_750:35.80;0002ReflectiveIntensity:13157.75;0002ReflectiveIntensityStdDev:596.440;0002SealTimeEstimate:14.7;0021_DecodingIntensityStdDev_577F1:30.184;0021_DecodingIntensityStdDev_577F2:65.443;0021_MeanDecodingIntensity_577F1:401.86;0021_MeanDecodingIntensity_577F2:406.30;0021AEB:00.0199;0021DecodingIntensityStdDev:85.679;0021DecodingIntensityStdDev_488:25.906;0021DecodingIntensityStdDev_647:85.679;0021DecodingIntensityStdDev_700:10.265;0021DecodingIntensityStdDev_750:7.116;0021F_on:0.0197;0021FillPercent:009.86;0021KineticInconsistentLower:0;0021KineticInconsistentMetadata:-766.326801569947|2.97;0021MeanDecodingIntensity:403.59;0021MeanDecodingIntensity_488:142.50;0021MeanDecodingIntensity_647:403.59;0021MeanDecodingIntensity_700:67.38;0021MeanDecodingIntensity_750:35.89;0021ReflectiveIntensity:12922.24;0021ReflectiveIntensityStdDev:489.027;0021SealTimeEstimate:13.7;0201_DecodingIntensityStdDev_577F1:32.146;0201_DecodingIntensityStdDev_577F2:68.537;0201_MeanDecodingIntensity_577F1:402.48;0201_MeanDecodingIntensity_577F2:407.53;0201AEB:00.0219;0201DecodingIntensityStdDev:118.993;0201DecodingIntensityStdDev_488:36.275;0201DecodingIntensityStdDev_647:29.203;0201DecodingIntensityStdDev_700:118.993;0201DecodingIntensityStdDev_750:12.818;0201F_on:0.0217;0201FillPercent:011.41;0201KineticInconsistentLower:0;0201KineticInconsistentMetadata:-748.448058537805|2.92;0201MeanDecodingIntensity:479.32;0201MeanDecodingIntensity_488:146.95;0201MeanDecodingIntensity_647:98.54;0201MeanDecodingIntensity_700:479.32;0201MeanDecodingIntensity_750:65.62;0201ReflectiveIntensity:12989.45;0201ReflectiveIntensityStdDev:542.758;0201SealTimeEstimate:14.1;2001_DecodingIntensityStdDev_577F1:36.730;2001_DecodingIntensityStdDev_577F2:76.101;2001_MeanDecodingIntensity_577F1:431.29;2001_MeanDecodingIntensity_577F2:436.30;2001AEB:00.0219;2001DecodingIntensityStdDev:227.890;2001DecodingIntensityStdDev_488:49.447;2001DecodingIntensityStdDev_647:7.029;2001DecodingIntensityStdDev_700:6.454;2001DecodingIntensityStdDev_750:227.890;2001F_on:0.0217;2001FillPercent:010.73;2001KineticInconsistentLower:0;2001KineticInconsistentMetadata:-790.418411160844|2.88;2001MeanDecodingIntensity:910.25;2001MeanDecodingIntensity_488:147.52;2001MeanDecodingIntensity_647:37.94;2001MeanDecodingIntensity_700:34.73;2001MeanDecodingIntensity_750:910.25;2001ReflectiveIntensity:12974.31;2001ReflectiveIntensityStdDev:539.495;2001SealTimeEstimate:14.4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14.20;Empties488F1MeanIntensity:72.15;Empties577F1IntensityStdDev:17.49;Empties577F1MeanIntensity:371.62;Empties577F2IntensityStdDev:18.50;Empties577F2MeanIntensity:367.78;Empties647F1IntensityStdDev:4.61;Empties647F1MeanIntensity:31.56;Empties700F1IntensityStdDev:4.71;Empties700F1MeanIntensity:29.67;Empties750F1IntensityStdDev:5.81;Empties750F1MeanIntensity:34.29;EmptiesIGrowth:204.59;EmptiesReflectiveIntensityStdDev:304.56;EmptiesReflectiveMeanIntensity:11768.83;Errors:;F2minusF1Shift:0.6;FluorescenceClassification:Normal;Focus_FracImageLost:0.00;FocusScoresAvg:3.45;FocusScoresImageCenter:4.34;FocusScoresMax:5.24;FocusScoresMedian:3.47;FractionImageDebris:0.2004;FractionWellsDebris:0.1726;ImageQualityScoreIfUnpegged:1.00;IndexingWellsMissingFromFov:2637;IndexingWellsTotalLostBothVisibleAndMissing:3728;IndexingWellsVisibleInFovButRemoved:1091;L1DR time (ms):28515;NetBeadFillRate:33.90;NormalizedFillPercentage:048.34;Notes:Indexing: stripe across bottom | Xtalk: usable out of spec wv 577 sr 4 dir 5 value 0.041. | Xtalk: usable out of spec wv 577 sr 8 dir 5 value 0.038. | Xtalk: usable out of spec wv 577 sr 9 dir 5 value 0.038. | Xtalk: usable out of spec wv 577 sr 11 dir 4 value 0.046. | Xtalk: usable out of spec wv 488 sr 8 dir 5 value 0.036.;NumberDecSaturated:1;NumberEmpties:53916;NumberFlagged_DeadPixels:66.0000;NumberFlagged_Debris:31723.0000;NumberFlagged_MissingNeighbor:8712.0000;NumberFlagged_NeighborSaturated:06.0000;NumberFlagged_OddlyRecurrentClassification:6166.0000;NumberFlagged_OutOfBounds:2894.0000;NumberFlagged_SaturatedPixelDecodingFour:01.0000;NumberInvalidWells:35022;NumberPositiveEmpties:14;NumberPositives:3920;NumberResSaturated:0;NumberSaturatedWithoutDebris:1;NumberValidUnclassified:44450.00;NumberValidWells:148823;OddlyAggregatedFlag:2;OddlyAggregatedLocations:;OddlyAggregatedWorst:0;OffsetW488:( 0, 0 );OffsetW577:( 0, 0 );OffsetW647:( 0, 0 );OffsetW700:( 0, 0 );OffsetW750:( 0, 0 );ResorufinUnsaturated:0;ResorufinUnsaturatedMutated:0;ResorufinUnsaturaterNumberInFit:11;SaturatedDecodingWells:1;SuspiciousWells:24354;SuspiciousWellsFlagged:1;SuspiciousWellsLowerThreshold:5;Warnings:;WhiteLightChannelMedian:9815;XtalkSubregionsOutOfSpec:0</t>
  </si>
  <si>
    <t>high-1-2-2</t>
  </si>
  <si>
    <t>Plate 2 - Well E1</t>
  </si>
  <si>
    <t>0002_DecodingIntensityStdDev_577F1:46.809;0002_DecodingIntensityStdDev_577F2:94.001;0002_MeanDecodingIntensity_577F1:403.60;0002_MeanDecodingIntensity_577F2:413.18;0002AEB:00.0346;0002DecodingIntensityStdDev:369.222;0002DecodingIntensityStdDev_488:369.222;0002DecodingIntensityStdDev_647:5.160;0002DecodingIntensityStdDev_700:5.111;0002DecodingIntensityStdDev_750:6.798;0002F_on:0.0340;0002FillPercent:015.99;0002KineticInconsistentLower:0;0002KineticInconsistentMetadata:-534.976181045504|2.4;0002MeanDecodingIntensity:1654.79;0002MeanDecodingIntensity_488:1654.79;0002MeanDecodingIntensity_647:35.38;0002MeanDecodingIntensity_700:30.80;0002MeanDecodingIntensity_750:36.20;0002ReflectiveIntensity:13290.26;0002ReflectiveIntensityStdDev:626.886;0002SealTimeEstimate:19.5;0021_DecodingIntensityStdDev_577F1:47.849;0021_DecodingIntensityStdDev_577F2:99.202;0021_MeanDecodingIntensity_577F1:398.18;0021_MeanDecodingIntensity_577F2:407.91;0021AEB:00.0325;0021DecodingIntensityStdDev:89.961;0021DecodingIntensityStdDev_488:23.932;0021DecodingIntensityStdDev_647:89.961;0021DecodingIntensityStdDev_700:10.722;0021DecodingIntensityStdDev_750:7.179;0021F_on:0.0320;0021FillPercent:009.51;0021KineticInconsistentLower:0;0021KineticInconsistentMetadata:-546.341792623225|2.43;0021MeanDecodingIntensity:437.78;0021MeanDecodingIntensity_488:149.48;0021MeanDecodingIntensity_647:437.78;0021MeanDecodingIntensity_700:71.85;0021MeanDecodingIntensity_750:36.44;0021ReflectiveIntensity:13071.02;0021ReflectiveIntensityStdDev:557.554;0021SealTimeEstimate:19.1;0201_DecodingIntensityStdDev_577F1:51.385;0201_DecodingIntensityStdDev_577F2:103.051;0201_MeanDecodingIntensity_577F1:400.06;0201_MeanDecodingIntensity_577F2:410.26;0201AEB:00.0357;0201DecodingIntensityStdDev:143.947;0201DecodingIntensityStdDev_488:39.188;0201DecodingIntensityStdDev_647:43.202;0201DecodingIntensityStdDev_700:143.947;0201DecodingIntensityStdDev_750:14.390;0201F_on:0.0350;0201FillPercent:011.50;0201KineticInconsistentLower:0;0201KineticInconsistentMetadata:-533.385327898824|2.41;0201MeanDecodingIntensity:529.74;0201MeanDecodingIntensity_488:155.38;0201MeanDecodingIntensity_647:106.34;0201MeanDecodingIntensity_700:529.74;0201MeanDecodingIntensity_750:68.16;0201ReflectiveIntensity:13185.65;0201ReflectiveIntensityStdDev:635.845;0201SealTimeEstimate:19.4;2001_DecodingIntensityStdDev_577F1:51.418;2001_DecodingIntensityStdDev_577F2:100.958;2001_MeanDecodingIntensity_577F1:431.45;2001_MeanDecodingIntensity_577F2:441.25;2001AEB:00.0352;2001DecodingIntensityStdDev:267.378;2001DecodingIntensityStdDev_488:38.504;2001DecodingIntensityStdDev_647:7.753;2001DecodingIntensityStdDev_700:6.625;2001DecodingIntensityStdDev_750:267.378;2001F_on:0.0346;2001FillPercent:010.78;2001KineticInconsistentLower:0;2001KineticInconsistentMetadata:-582.070970001468|2.42;2001MeanDecodingIntensity:1021.34;2001MeanDecodingIntensity_488:153.65;2001MeanDecodingIntensity_647:39.18;2001MeanDecodingIntensity_700:35.43;2001MeanDecodingIntensity_750:1021.34;2001ReflectiveIntensity:13142.20;2001ReflectiveIntensityStdDev:608.345;2001SealTimeEstimate:19.2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12.52;Empties488F1MeanIntensity:70.79;Empties577F1IntensityStdDev:19.15;Empties577F1MeanIntensity:362.12;Empties577F2IntensityStdDev:21.21;Empties577F2MeanIntensity:360.08;Empties647F1IntensityStdDev:4.48;Empties647F1MeanIntensity:31.62;Empties700F1IntensityStdDev:4.43;Empties700F1MeanIntensity:29.65;Empties750F1IntensityStdDev:5.54;Empties750F1MeanIntensity:34.33;EmptiesIGrowth:278.00;EmptiesReflectiveIntensityStdDev:377.04;EmptiesReflectiveMeanIntensity:11794.63;Errors:;F2minusF1Shift:-0.2;FluorescenceClassification:Normal;Focus_FracImageLost:0.00;FocusScoresAvg:3.65;FocusScoresImageCenter:4.03;FocusScoresMax:5.09;FocusScoresMedian:3.67;FractionImageDebris:0.0668;FractionWellsDebris:0.0735;ImageQualityScoreIfUnpegged:1.00;IndexingWellsMissingFromFov:0;IndexingWellsTotalLostBothVisibleAndMissing:0;IndexingWellsVisibleInFovButRemoved:0;L1DR time (ms):30129;NetBeadFillRate:33.53;NormalizedFillPercentage:047.78;Notes:Xtalk: usable out of spec wv 577 sr 4 dir 5 value 0.036. | Xtalk: usable out of spec wv 577 sr 8 dir 5 value 0.038.;NumberDecSaturated:0;NumberEmpties:63359;NumberFlagged_DeadPixels:75.0000;NumberFlagged_Debris:14153.0000;NumberFlagged_MissingNeighbor:3901.0000;NumberFlagged_NeighborSaturated:05.0000;NumberFlagged_OddlyRecurrentClassification:256.0000;NumberFlagged_OutOfBounds:4081.0000;NumberFlagged_SaturatedPixelResorufinTwo:01.0000;NumberInvalidWells:19601;NumberPositiveEmpties:13;NumberPositives:4459;NumberResSaturated:1;NumberSaturatedWithoutDebris:1;NumberValidUnclassified:51596.00;NumberValidWells:172932;OddlyAggregatedFlag:2;OddlyAggregatedLocations:;OddlyAggregatedWorst:0;OffsetW488:( 0, 0 );OffsetW577:( 0, 0 );OffsetW647:( 0, 1 );OffsetW700:( 0, 0 );OffsetW750:( 0, 0 );ResorufinUnsaturated:0;ResorufinUnsaturatedMutated:0;ResorufinUnsaturaterNumberInFit:73;SaturatedDecodingWells:0;SuspiciousWells:24271;SuspiciousWellsFlagged:1;SuspiciousWellsLowerThreshold:6;Warnings:;WhiteLightChannelMedian:9904;XtalkSubregionsOutOfSpec:0</t>
  </si>
  <si>
    <t>DataReduction.L1.TooMuchDebrisException;DataReduction.L2.AebOutOfCalibrationRangeBelow;DataReduction.L2.InvalidL1drResultException</t>
  </si>
  <si>
    <t>0002_DecodingIntensityStdDev_577F1:54.214;0002_DecodingIntensityStdDev_577F2:112.204;0002_MeanDecodingIntensity_577F1:407.31;0002_MeanDecodingIntensity_577F2:419.28;0002AEB:00.0413;0002DecodingIntensityStdDev:390.783;0002DecodingIntensityStdDev_488:390.783;0002DecodingIntensityStdDev_647:5.958;0002DecodingIntensityStdDev_700:5.162;0002DecodingIntensityStdDev_750:6.657;0002F_on:0.0404;0002FillPercent:014.44;0002KineticInconsistentLower:0;0002KineticInconsistentMetadata:-532.910373607184|2.38;0002MeanDecodingIntensity:1649.46;0002MeanDecodingIntensity_488:1649.46;0002MeanDecodingIntensity_647:35.40;0002MeanDecodingIntensity_700:30.70;0002MeanDecodingIntensity_750:35.65;0002ReflectiveIntensity:13159.36;0002ReflectiveIntensityStdDev:652.778;0002SealTimeEstimate:19.8;0021_DecodingIntensityStdDev_577F1:60.558;0021_DecodingIntensityStdDev_577F2:127.302;0021_MeanDecodingIntensity_577F1:400.70;0021_MeanDecodingIntensity_577F2:411.72;0021AEB:00.0352;0021DecodingIntensityStdDev:90.996;0021DecodingIntensityStdDev_488:25.227;0021DecodingIntensityStdDev_647:90.996;0021DecodingIntensityStdDev_700:10.937;0021DecodingIntensityStdDev_750:7.101;0021F_on:0.0346;0021FillPercent:008.60;0021KineticInconsistentLower:0;0021KineticInconsistentMetadata:-557.078284410603|2.44;0021MeanDecodingIntensity:424.26;0021MeanDecodingIntensity_488:148.54;0021MeanDecodingIntensity_647:424.26;0021MeanDecodingIntensity_700:69.57;0021MeanDecodingIntensity_750:35.85;0021ReflectiveIntensity:12931.39;0021ReflectiveIntensityStdDev:565.264;0021SealTimeEstimate:19.0;0201_DecodingIntensityStdDev_577F1:52.276;0201_DecodingIntensityStdDev_577F2:108.073;0201_MeanDecodingIntensity_577F1:401.74;0201_MeanDecodingIntensity_577F2:413.61;0201AEB:00.0398;0201DecodingIntensityStdDev:135.523;0201DecodingIntensityStdDev_488:33.497;0201DecodingIntensityStdDev_647:30.597;0201DecodingIntensityStdDev_700:135.523;0201DecodingIntensityStdDev_750:13.594;0201F_on:0.0390;0201FillPercent:010.27;0201KineticInconsistentLower:0;0201KineticInconsistentMetadata:-541.476257699928|2.41;0201MeanDecodingIntensity:507.70;0201MeanDecodingIntensity_488:152.86;0201MeanDecodingIntensity_647:101.74;0201MeanDecodingIntensity_700:507.70;0201MeanDecodingIntensity_750:66.43;0201ReflectiveIntensity:13010.99;0201ReflectiveIntensityStdDev:605.828;0201SealTimeEstimate:19.4;2001_DecodingIntensityStdDev_577F1:60.931;2001_DecodingIntensityStdDev_577F2:124.957;2001_MeanDecodingIntensity_577F1:431.96;2001_MeanDecodingIntensity_577F2:443.75;2001AEB:00.0379;2001DecodingIntensityStdDev:250.329;2001DecodingIntensityStdDev_488:46.938;2001DecodingIntensityStdDev_647:7.395;2001DecodingIntensityStdDev_700:7.346;2001DecodingIntensityStdDev_750:250.329;2001F_on:0.0372;2001FillPercent:009.69;2001KineticInconsistentLower:0;2001KineticInconsistentMetadata:-591.310771478634|2.43;2001MeanDecodingIntensity:944.75;2001MeanDecodingIntensity_488:153.13;2001MeanDecodingIntensity_647:38.81;2001MeanDecodingIntensity_700:35.13;2001MeanDecodingIntensity_750:944.75;2001ReflectiveIntensity:12995.56;2001ReflectiveIntensityStdDev:610.703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13.43;Empties488F1MeanIntensity:74.29;Empties577F1IntensityStdDev:17.57;Empties577F1MeanIntensity:365.31;Empties577F2IntensityStdDev:20.21;Empties577F2MeanIntensity:363.15;Empties647F1IntensityStdDev:4.59;Empties647F1MeanIntensity:31.85;Empties700F1IntensityStdDev:4.55;Empties700F1MeanIntensity:29.78;Empties750F1IntensityStdDev:5.61;Empties750F1MeanIntensity:34.22;EmptiesIGrowth:415.27;EmptiesReflectiveIntensityStdDev:351.49;EmptiesReflectiveMeanIntensity:11659.06;Errors:;F2minusF1Shift:0.5;FluorescenceClassification:Normal;Focus_FracImageLost:0.00;FocusScoresAvg:3.46;FocusScoresImageCenter:3.96;FocusScoresMax:4.84;FocusScoresMedian:3.41;FractionImageDebris:0.0757;FractionWellsDebris:0.0825;ImageQualityScoreIfUnpegged:1.00;IndexingWellsMissingFromFov:0;IndexingWellsTotalLostBothVisibleAndMissing:0;IndexingWellsVisibleInFovButRemoved:0;L1DR time (ms):29912;NetBeadFillRate:30.17;NormalizedFillPercentage:043.00;Notes:Xtalk: usable out of spec wv 577 sr 8 dir 5 value 0.043. | Xtalk: usable out of spec wv 577 sr 11 dir 3 value 0.036.;NumberDecSaturated:0;NumberEmpties:68932;NumberFlagged_DeadPixels:77.0000;NumberFlagged_Debris:15914.0000;NumberFlagged_MissingNeighbor:3170.0000;NumberFlagged_OutOfBounds:4177.0000;NumberInvalidWells:20540;NumberPositiveEmpties:10;NumberPositives:4491;NumberResSaturated:0;NumberSaturatedWithoutDebris:0;NumberValidUnclassified:51391.00;NumberValidWells:172317;OddlyAggregatedFlag:2;OddlyAggregatedLocations:;OddlyAggregatedWorst:0;OffsetW488:( 0, 0 );OffsetW577:( 0, 0 );OffsetW647:( 0, 1 );OffsetW700:( 0, 0 );OffsetW750:( 0, 0 );ResorufinUnsaturated:0;ResorufinUnsaturatedMutated:0;ResorufinUnsaturaterNumberInFit:109;SaturatedDecodingWells:2;SuspiciousWells:21400;SuspiciousWellsFlagged:1;SuspiciousWellsLowerThreshold:6;Warnings:;WhiteLightChannelMedian:9852;XtalkSubregionsOutOfSpec:0</t>
  </si>
  <si>
    <t>high-1-2-1</t>
  </si>
  <si>
    <t>Plate 2 - Well F1</t>
  </si>
  <si>
    <t>0002_DecodingIntensityStdDev_577F1:36.648;0002_DecodingIntensityStdDev_577F2:79.372;0002_MeanDecodingIntensity_577F1:398.86;0002_MeanDecodingIntensity_577F2:408.14;0002AEB:00.0322;0002DecodingIntensityStdDev:385.423;0002DecodingIntensityStdDev_488:385.423;0002DecodingIntensityStdDev_647:5.504;0002DecodingIntensityStdDev_700:5.384;0002DecodingIntensityStdDev_750:7.091;0002F_on:0.0317;0002FillPercent:017.02;0002KineticInconsistentLower:0;0002KineticInconsistentMetadata:-704.296969911594|2.87;0002MeanDecodingIntensity:1575.68;0002MeanDecodingIntensity_488:1575.68;0002MeanDecodingIntensity_647:35.28;0002MeanDecodingIntensity_700:30.88;0002MeanDecodingIntensity_750:36.19;0002ReflectiveIntensity:13036.59;0002ReflectiveIntensityStdDev:653.986;0002SealTimeEstimate:14.5;0021_DecodingIntensityStdDev_577F1:32.771;0021_DecodingIntensityStdDev_577F2:74.020;0021_MeanDecodingIntensity_577F1:392.56;0021_MeanDecodingIntensity_577F2:400.36;0021AEB:00.0229;0021DecodingIntensityStdDev:92.152;0021DecodingIntensityStdDev_488:27.663;0021DecodingIntensityStdDev_647:92.152;0021DecodingIntensityStdDev_700:11.160;0021DecodingIntensityStdDev_750:7.685;0021F_on:0.0227;0021FillPercent:010.31;0021KineticInconsistentLower:0;0021KineticInconsistentMetadata:-712.139196648574|2.9;0021MeanDecodingIntensity:412.06;0021MeanDecodingIntensity_488:149.35;0021MeanDecodingIntensity_647:412.06;0021MeanDecodingIntensity_700:68.96;0021MeanDecodingIntensity_750:36.64;0021ReflectiveIntensity:12814.37;0021ReflectiveIntensityStdDev:549.151;0021SealTimeEstimate:14.2;0201_DecodingIntensityStdDev_577F1:36.272;0201_DecodingIntensityStdDev_577F2:76.899;0201_MeanDecodingIntensity_577F1:394.59;0201_MeanDecodingIntensity_577F2:402.64;0201AEB:00.0224;0201DecodingIntensityStdDev:146.066;0201DecodingIntensityStdDev_488:47.561;0201DecodingIntensityStdDev_647:49.868;0201DecodingIntensityStdDev_700:146.066;0201DecodingIntensityStdDev_750:15.732;0201F_on:0.0222;0201FillPercent:012.21;0201KineticInconsistentLower:0;0201KineticInconsistentMetadata:-705.084755535375|2.89;0201MeanDecodingIntensity:501.38;0201MeanDecodingIntensity_488:156.32;0201MeanDecodingIntensity_647:105.79;0201MeanDecodingIntensity_700:501.38;0201MeanDecodingIntensity_750:67.06;0201ReflectiveIntensity:12933.38;0201ReflectiveIntensityStdDev:646.637;0201SealTimeEstimate:14.3;2001_DecodingIntensityStdDev_577F1:39.804;2001_DecodingIntensityStdDev_577F2:82.948;2001_MeanDecodingIntensity_577F1:423.31;2001_MeanDecodingIntensity_577F2:431.70;2001AEB:00.0253;2001DecodingIntensityStdDev:264.036;2001DecodingIntensityStdDev_488:63.901;2001DecodingIntensityStdDev_647:10.892;2001DecodingIntensityStdDev_700:8.272;2001DecodingIntensityStdDev_750:264.036;2001F_on:0.0250;2001FillPercent:011.66;2001KineticInconsistentLower:0;2001KineticInconsistentMetadata:-731.511659826851|2.83;2001MeanDecodingIntensity:949.49;2001MeanDecodingIntensity_488:157.22;2001MeanDecodingIntensity_647:39.18;2001MeanDecodingIntensity_700:35.47;2001MeanDecodingIntensity_750:949.49;2001ReflectiveIntensity:12893.34;2001ReflectiveIntensityStdDev:621.628;2001SealTimeEstimate:14.8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14.32;Empties488F1MeanIntensity:74.88;Empties577F1IntensityStdDev:17.21;Empties577F1MeanIntensity:363.09;Empties577F2IntensityStdDev:22.14;Empties577F2MeanIntensity:361.08;Empties647F1IntensityStdDev:4.75;Empties647F1MeanIntensity:31.82;Empties700F1IntensityStdDev:4.76;Empties700F1MeanIntensity:29.87;Empties750F1IntensityStdDev:5.95;Empties750F1MeanIntensity:34.60;EmptiesIGrowth:331.48;EmptiesReflectiveIntensityStdDev:358.44;EmptiesReflectiveMeanIntensity:11578.09;Errors:;F2minusF1Shift:-0.6;FluorescenceClassification:Normal;Focus_FracImageLost:0.00;FocusScoresAvg:3.42;FocusScoresImageCenter:3.91;FocusScoresMax:5.11;FocusScoresMedian:3.40;FractionImageDebris:0.0757;FractionWellsDebris:0.0702;ImageQualityScoreIfUnpegged:1.00;IndexingWellsMissingFromFov:1814;IndexingWellsTotalLostBothVisibleAndMissing:3728;IndexingWellsVisibleInFovButRemoved:1914;L1DR time (ms):29844;NetBeadFillRate:35.90;NormalizedFillPercentage:051.20;Notes:Indexing: stripe across bottom | Xtalk: usable out of spec wv 577 sr 0 dir 5 value 0.036. | Xtalk: usable out of spec wv 577 sr 4 dir 5 value 0.046.;NumberDecSaturated:0;NumberEmpties:58880;NumberFlagged_DeadPixels:75.0000;NumberFlagged_Debris:13288.0000;NumberFlagged_MissingNeighbor:2549.0000;NumberFlagged_OddlyRecurrentClassification:532.0000;NumberFlagged_OutOfBounds:3130.0000;NumberInvalidWells:17206;NumberPositiveEmpties:36;NumberPositives:3262;NumberResSaturated:0;NumberSaturatedWithoutDebris:0;NumberValidUnclassified:51412.00;NumberValidWells:172068;OddlyAggregatedFlag:2;OddlyAggregatedLocations:;OddlyAggregatedWorst:0;OffsetW488:( 0, 0 );OffsetW577:( 0, 0 );OffsetW647:( 0, 1 );OffsetW700:( 0, 0 );OffsetW750:( 0, 0 );ResorufinUnsaturated:0;ResorufinUnsaturatedMutated:0;ResorufinUnsaturaterNumberInFit:21;SaturatedDecodingWells:0;SuspiciousWells:20814;SuspiciousWellsFlagged:1;SuspiciousWellsLowerThreshold:6;Warnings:;WhiteLightChannelMedian:9861;XtalkSubregionsOutOfSpec:0</t>
  </si>
  <si>
    <t>0002_DecodingIntensityStdDev_577F1:47.240;0002_DecodingIntensityStdDev_577F2:93.504;0002_MeanDecodingIntensity_577F1:402.66;0002_MeanDecodingIntensity_577F2:412.10;0002AEB:00.0327;0002DecodingIntensityStdDev:390.982;0002DecodingIntensityStdDev_488:390.982;0002DecodingIntensityStdDev_647:5.191;0002DecodingIntensityStdDev_700:5.249;0002DecodingIntensityStdDev_750:6.893;0002F_on:0.0322;0002FillPercent:015.40;0002KineticInconsistentLower:0;0002KineticInconsistentMetadata:-509.358499414152|2.35;0002MeanDecodingIntensity:1616.93;0002MeanDecodingIntensity_488:1616.93;0002MeanDecodingIntensity_647:35.11;0002MeanDecodingIntensity_700:30.82;0002MeanDecodingIntensity_750:35.98;0002ReflectiveIntensity:12986.27;0002ReflectiveIntensityStdDev:678.360;0002SealTimeEstimate:20.3;0021_DecodingIntensityStdDev_577F1:50.338;0021_DecodingIntensityStdDev_577F2:100.944;0021_MeanDecodingIntensity_577F1:395.73;0021_MeanDecodingIntensity_577F2:403.23;0021AEB:00.0223;0021DecodingIntensityStdDev:92.771;0021DecodingIntensityStdDev_488:25.348;0021DecodingIntensityStdDev_647:92.771;0021DecodingIntensityStdDev_700:10.988;0021DecodingIntensityStdDev_750:7.366;0021F_on:0.0221;0021FillPercent:009.48;0021KineticInconsistentLower:0;0021KineticInconsistentMetadata:-556.85389421852|2.44;0021MeanDecodingIntensity:421.82;0021MeanDecodingIntensity_488:148.19;0021MeanDecodingIntensity_647:421.82;0021MeanDecodingIntensity_700:69.42;0021MeanDecodingIntensity_750:36.27;0021ReflectiveIntensity:12752.40;0021ReflectiveIntensityStdDev:565.934;0021SealTimeEstimate:19.0;0201_DecodingIntensityStdDev_577F1:41.845;0201_DecodingIntensityStdDev_577F2:80.531;0201_MeanDecodingIntensity_577F1:395.97;0201_MeanDecodingIntensity_577F2:403.43;0201AEB:00.0227;0201DecodingIntensityStdDev:133.509;0201DecodingIntensityStdDev_488:33.369;0201DecodingIntensityStdDev_647:31.360;0201DecodingIntensityStdDev_700:133.509;0201DecodingIntensityStdDev_750:13.447;0201F_on:0.0224;0201FillPercent:011.16;0201KineticInconsistentLower:0;0201KineticInconsistentMetadata:-502.084355138743|2.34;0201MeanDecodingIntensity:501.62;0201MeanDecodingIntensity_488:151.95;0201MeanDecodingIntensity_647:100.44;0201MeanDecodingIntensity_700:501.62;0201MeanDecodingIntensity_750:66.54;0201ReflectiveIntensity:12824.53;0201ReflectiveIntensityStdDev:617.560;0201SealTimeEstimate:20.4;2001_DecodingIntensityStdDev_577F1:45.963;2001_DecodingIntensityStdDev_577F2:87.761;2001_MeanDecodingIntensity_577F1:426.58;2001_MeanDecodingIntensity_577F2:434.44;2001AEB:00.0253;2001DecodingIntensityStdDev:246.498;2001DecodingIntensityStdDev_488:35.739;2001DecodingIntensityStdDev_647:7.495;2001DecodingIntensityStdDev_700:7.099;2001DecodingIntensityStdDev_750:246.498;2001F_on:0.0250;2001FillPercent:010.68;2001KineticInconsistentLower:0;2001KineticInconsistentMetadata:-522.719884016386|2.32;2001MeanDecodingIntensity:956.35;2001MeanDecodingIntensity_488:150.78;2001MeanDecodingIntensity_647:38.65;2001MeanDecodingIntensity_700:35.02;2001MeanDecodingIntensity_750:956.35;2001ReflectiveIntensity:12810.75;2001ReflectiveIntensityStdDev:605.373;2001SealTimeEstimate:20.8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13.50;Empties488F1MeanIntensity:73.78;Empties577F1IntensityStdDev:18.13;Empties577F1MeanIntensity:363.52;Empties577F2IntensityStdDev:22.89;Empties577F2MeanIntensity:361.47;Empties647F1IntensityStdDev:4.65;Empties647F1MeanIntensity:31.83;Empties700F1IntensityStdDev:4.68;Empties700F1MeanIntensity:29.88;Empties750F1IntensityStdDev:5.88;Empties750F1MeanIntensity:34.59;EmptiesIGrowth:527.31;EmptiesReflectiveIntensityStdDev:350.58;EmptiesReflectiveMeanIntensity:11498.52;Errors:;F2minusF1Shift:-0.5;FluorescenceClassification:Normal;Focus_FracImageLost:0.00;FocusScoresAvg:3.37;FocusScoresImageCenter:4.01;FocusScoresMax:4.84;FocusScoresMedian:3.36;FractionImageDebris:0.0801;FractionWellsDebris:0.0739;ImageQualityScoreIfUnpegged:1.00;IndexingWellsMissingFromFov:1225;IndexingWellsTotalLostBothVisibleAndMissing:3728;IndexingWellsVisibleInFovButRemoved:2503;L1DR time (ms):28439;NetBeadFillRate:32.78;NormalizedFillPercentage:046.73;Notes:Indexing: stripe across bottom | Xtalk: usable out of spec wv 577 sr 4 dir 5 value 0.041. | Xtalk: usable out of spec wv 577 sr 8 dir 5 value 0.036.;NumberDecSaturated:0;NumberEmpties:64224;NumberFlagged_DeadPixels:78.0000;NumberFlagged_Debris:13984.0000;NumberFlagged_MissingNeighbor:2846.0000;NumberFlagged_OutOfBounds:3127.0000;NumberInvalidWells:17384;NumberPositiveEmpties:11;NumberPositives:3109;NumberResSaturated:0;NumberSaturatedWithoutDebris:0;NumberValidUnclassified:51300.00;NumberValidWells:171854;OddlyAggregatedFlag:2;OddlyAggregatedLocations:;OddlyAggregatedWorst:0;OffsetW488:( 0, 0 );OffsetW577:( 0, 0 );OffsetW647:( 0, 1 );OffsetW700:( 0, 0 );OffsetW750:( 0, 0 );ResorufinUnsaturated:0;ResorufinUnsaturatedMutated:0;ResorufinUnsaturaterNumberInFit:66;SaturatedDecodingWells:0;SuspiciousWells:26014;SuspiciousWellsFlagged:1;SuspiciousWellsLowerThreshold:5;Warnings:;WhiteLightChannelMedian:9797;XtalkSubregionsOutOfSpec:0</t>
  </si>
  <si>
    <t>0002_DecodingIntensityStdDev_577F1:45.711;0002_DecodingIntensityStdDev_577F2:90.825;0002_MeanDecodingIntensity_577F1:403.20;0002_MeanDecodingIntensity_577F2:412.56;0002AEB:00.0315;0002DecodingIntensityStdDev:394.437;0002DecodingIntensityStdDev_488:394.437;0002DecodingIntensityStdDev_647:5.336;0002DecodingIntensityStdDev_700:5.162;0002DecodingIntensityStdDev_750:6.841;0002F_on:0.0310;0002FillPercent:015.88;0002KineticInconsistentLower:0;0002KineticInconsistentMetadata:-497.17698174029|2.33;0002MeanDecodingIntensity:1641.77;0002MeanDecodingIntensity_488:1641.77;0002MeanDecodingIntensity_647:35.31;0002MeanDecodingIntensity_700:30.86;0002MeanDecodingIntensity_750:36.01;0002ReflectiveIntensity:13219.53;0002ReflectiveIntensityStdDev:651.658;0002SealTimeEstimate:20.6;0021_DecodingIntensityStdDev_577F1:42.905;0021_DecodingIntensityStdDev_577F2:87.878;0021_MeanDecodingIntensity_577F1:396.19;0021_MeanDecodingIntensity_577F2:404.11;0021AEB:00.0234;0021DecodingIntensityStdDev:91.994;0021DecodingIntensityStdDev_488:24.993;0021DecodingIntensityStdDev_647:91.994;0021DecodingIntensityStdDev_700:10.843;0021DecodingIntensityStdDev_750:7.311;0021F_on:0.0232;0021FillPercent:009.73;0021KineticInconsistentLower:0;0021KineticInconsistentMetadata:-542.282191007043|2.42;0021MeanDecodingIntensity:428.81;0021MeanDecodingIntensity_488:149.90;0021MeanDecodingIntensity_647:428.81;0021MeanDecodingIntensity_700:70.29;0021MeanDecodingIntensity_750:36.30;0021ReflectiveIntensity:12976.80;0021ReflectiveIntensityStdDev:549.647;0021SealTimeEstimate:19.2;0201_DecodingIntensityStdDev_577F1:49.699;0201_DecodingIntensityStdDev_577F2:101.376;0201_MeanDecodingIntensity_577F1:396.48;0201_MeanDecodingIntensity_577F2:405.09;0201AEB:00.0232;0201DecodingIntensityStdDev:130.993;0201DecodingIntensityStdDev_488:32.002;0201DecodingIntensityStdDev_647:27.847;0201DecodingIntensityStdDev_700:130.993;0201DecodingIntensityStdDev_750:12.877;0201F_on:0.0230;0201FillPercent:011.34;0201KineticInconsistentLower:0;0201KineticInconsistentMetadata:-518.525019713844|2.38;0201MeanDecodingIntensity:507.53;0201MeanDecodingIntensity_488:153.00;0201MeanDecodingIntensity_647:100.91;0201MeanDecodingIntensity_700:507.53;0201MeanDecodingIntensity_750:66.87;0201ReflectiveIntensity:13044.47;0201ReflectiveIntensityStdDev:608.725;0201SealTimeEstimate:19.8;2001_DecodingIntensityStdDev_577F1:48.859;2001_DecodingIntensityStdDev_577F2:94.180;2001_MeanDecodingIntensity_577F1:428.17;2001_MeanDecodingIntensity_577F2:436.55;2001AEB:00.0262;2001DecodingIntensityStdDev:250.589;2001DecodingIntensityStdDev_488:30.131;2001DecodingIntensityStdDev_647:6.597;2001DecodingIntensityStdDev_700:6.455;2001DecodingIntensityStdDev_750:250.589;2001F_on:0.0259;2001FillPercent:010.94;2001KineticInconsistentLower:0;2001KineticInconsistentMetadata:-545.461341442517|2.36;2001MeanDecodingIntensity:987.37;2001MeanDecodingIntensity_488:152.06;2001MeanDecodingIntensity_647:38.91;2001MeanDecodingIntensity_700:35.20;2001MeanDecodingIntensity_750:987.37;2001ReflectiveIntensity:13031.34;2001ReflectiveIntensityStdDev:597.339;2001SealTimeEstimate:20.1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13.70;Empties488F1MeanIntensity:73.29;Empties577F1IntensityStdDev:19.49;Empties577F1MeanIntensity:362.08;Empties577F2IntensityStdDev:21.84;Empties577F2MeanIntensity:360.28;Empties647F1IntensityStdDev:4.73;Empties647F1MeanIntensity:31.83;Empties700F1IntensityStdDev:4.72;Empties700F1MeanIntensity:29.92;Empties750F1IntensityStdDev:5.96;Empties750F1MeanIntensity:34.69;EmptiesIGrowth:347.24;EmptiesReflectiveIntensityStdDev:340.35;EmptiesReflectiveMeanIntensity:11665.43;Errors:;F2minusF1Shift:-0.7;FluorescenceClassification:Normal;Focus_FracImageLost:0.00;FocusScoresAvg:3.33;FocusScoresImageCenter:4.10;FocusScoresMax:4.86;FocusScoresMedian:3.30;FractionImageDebris:0.1256;FractionWellsDebris:0.1319;ImageQualityScoreIfUnpegged:1.00;IndexingWellsMissingFromFov:0;IndexingWellsTotalLostBothVisibleAndMissing:0;IndexingWellsVisibleInFovButRemoved:0;L1DR time (ms):28107;NetBeadFillRate:33.59;NormalizedFillPercentage:047.89;Notes:Xtalk: usable out of spec wv 577 sr 4 dir 5 value 0.036. | Xtalk: usable out of spec wv 577 sr 8 dir 5 value 0.041.;NumberDecSaturated:5;NumberEmpties:59626;NumberFlagged_DeadPixels:87.0000;NumberFlagged_Debris:25422.0000;NumberFlagged_MissingNeighbor:3118.0000;NumberFlagged_NeighborSaturated:14.0000;NumberFlagged_OddlyRecurrentClassification:1283.0000;NumberFlagged_OutOfBounds:4259.0000;NumberFlagged_SaturatedPixelDecodingFour:05.0000;NumberInvalidWells:29643;NumberPositiveEmpties:10;NumberPositives:3377;NumberResSaturated:0;NumberSaturatedWithoutDebris:0;NumberValidUnclassified:48735.00;NumberValidWells:163159;OddlyAggregatedFlag:2;OddlyAggregatedLocations:;OddlyAggregatedWorst:0;OffsetW488:( 0, 0 );OffsetW577:( 0, 0 );OffsetW647:( 0, 1 );OffsetW700:( 0, 0 );OffsetW750:( 0, 0 );ResorufinUnsaturated:0;ResorufinUnsaturatedMutated:0;ResorufinUnsaturaterNumberInFit:65;SaturatedDecodingWells:0;SuspiciousWells:21296;SuspiciousWellsFlagged:1;SuspiciousWellsLowerThreshold:6;Warnings:;WhiteLightChannelMedian:10040;XtalkSubregionsOutOfSpec:0</t>
  </si>
  <si>
    <t>spikein-1-8-1</t>
  </si>
  <si>
    <t>Plate 2 - Well H1</t>
  </si>
  <si>
    <t>0002_DecodingIntensityStdDev_577F1:91.403;0002_DecodingIntensityStdDev_577F2:194.875;0002_MeanDecodingIntensity_577F1:425.24;0002_MeanDecodingIntensity_577F2:469.57;0002AEB:00.2179;0002DecodingIntensityStdDev:390.564;0002DecodingIntensityStdDev_488:390.564;0002DecodingIntensityStdDev_647:5.380;0002DecodingIntensityStdDev_700:5.297;0002DecodingIntensityStdDev_750:6.940;0002F_on:0.1958;0002FillPercent:015.86;0002KineticInconsistentLower:0;0002KineticInconsistentMetadata:-498.37624970147|2.34;0002MeanDecodingIntensity:1571.37;0002MeanDecodingIntensity_488:1571.37;0002MeanDecodingIntensity_647:35.05;0002MeanDecodingIntensity_700:30.66;0002MeanDecodingIntensity_750:35.92;0002ReflectiveIntensity:13071.00;0002ReflectiveIntensityStdDev:635.186;0002SealTimeEstimate:20.4;0021_DecodingIntensityStdDev_577F1:40.835;0021_DecodingIntensityStdDev_577F2:78.947;0021_MeanDecodingIntensity_577F1:390.92;0021_MeanDecodingIntensity_577F2:398.89;0021AEB:00.0228;0021DecodingIntensityStdDev:92.842;0021DecodingIntensityStdDev_488:25.042;0021DecodingIntensityStdDev_647:92.842;0021DecodingIntensityStdDev_700:11.001;0021DecodingIntensityStdDev_750:7.320;0021F_on:0.0226;0021FillPercent:009.68;0021KineticInconsistentLower:0;0021KineticInconsistentMetadata:-507.587608454134|2.37;0021MeanDecodingIntensity:416.36;0021MeanDecodingIntensity_488:141.09;0021MeanDecodingIntensity_647:416.36;0021MeanDecodingIntensity_700:69.28;0021MeanDecodingIntensity_750:36.11;0021ReflectiveIntensity:12835.31;0021ReflectiveIntensityStdDev:522.975;0021SealTimeEstimate:20.0;0201_DecodingIntensityStdDev_577F1:43.658;0201_DecodingIntensityStdDev_577F2:86.484;0201_MeanDecodingIntensity_577F1:391.00;0201_MeanDecodingIntensity_577F2:399.47;0201AEB:00.0223;0201DecodingIntensityStdDev:130.404;0201DecodingIntensityStdDev_488:31.218;0201DecodingIntensityStdDev_647:26.024;0201DecodingIntensityStdDev_700:130.404;0201DecodingIntensityStdDev_750:13.014;0201F_on:0.0221;0201FillPercent:011.18;0201KineticInconsistentLower:0;0201KineticInconsistentMetadata:-524.837272801708|2.41;0201MeanDecodingIntensity:497.33;0201MeanDecodingIntensity_488:144.52;0201MeanDecodingIntensity_647:99.20;0201MeanDecodingIntensity_700:497.33;0201MeanDecodingIntensity_750:66.57;0201ReflectiveIntensity:12911.50;0201ReflectiveIntensityStdDev:576.421;0201SealTimeEstimate:19.4;2001_DecodingIntensityStdDev_577F1:42.931;2001_DecodingIntensityStdDev_577F2:79.720;2001_MeanDecodingIntensity_577F1:421.48;2001_MeanDecodingIntensity_577F2:429.82;2001AEB:00.0238;2001DecodingIntensityStdDev:258.773;2001DecodingIntensityStdDev_488:39.492;2001DecodingIntensityStdDev_647:7.453;2001DecodingIntensityStdDev_700:6.806;2001DecodingIntensityStdDev_750:258.773;2001F_on:0.0235;2001FillPercent:010.70;2001KineticInconsistentLower:0;2001KineticInconsistentMetadata:-536.573658996249|2.35;2001MeanDecodingIntensity:979.05;2001MeanDecodingIntensity_488:145.61;2001MeanDecodingIntensity_647:38.40;2001MeanDecodingIntensity_700:35.16;2001MeanDecodingIntensity_750:979.05;2001ReflectiveIntensity:12909.53;2001ReflectiveIntensityStdDev:587.276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13.44;Empties488F1MeanIntensity:68.35;Empties577F1IntensityStdDev:22.32;Empties577F1MeanIntensity:358.49;Empties577F2IntensityStdDev:30.54;Empties577F2MeanIntensity:357.57;Empties647F1IntensityStdDev:4.81;Empties647F1MeanIntensity:31.65;Empties700F1IntensityStdDev:4.80;Empties700F1MeanIntensity:29.69;Empties750F1IntensityStdDev:6.01;Empties750F1MeanIntensity:34.47;EmptiesIGrowth:450.82;EmptiesReflectiveIntensityStdDev:302.34;EmptiesReflectiveMeanIntensity:11606.93;Errors:;F2minusF1Shift:-1.8;FluorescenceClassification:Normal;Focus_FracImageLost:0.00;FocusScoresAvg:3.25;FocusScoresImageCenter:4.60;FocusScoresMax:4.99;FocusScoresMedian:3.28;FractionImageDebris:0.0782;FractionWellsDebris:0.0887;ImageQualityScoreIfUnpegged:0.60;IndexingWellsMissingFromFov:0;IndexingWellsTotalLostBothVisibleAndMissing:0;IndexingWellsVisibleInFovButRemoved:0;L1DR time (ms):26354;NetBeadFillRate:33.26;NormalizedFillPercentage:047.42;Notes:Xtalk: usable out of spec wv 577 sr 8 dir 5 value 0.048. | Xtalk: usable out of spec wv 488 sr 4 dir 5 value 0.038.;NumberDecSaturated:0;NumberEmpties:57508;NumberFlagged_DeadPixels:73.0000;NumberFlagged_Debris:17091.0000;NumberFlagged_MissingNeighbor:3157.0000;NumberFlagged_OutOfBounds:4042.0000;NumberFlagged_OutOfSpecXtalk:16005.0000;NumberInvalidWells:36645;NumberPositiveEmpties:29;NumberPositives:9925;NumberResSaturated:0;NumberSaturatedWithoutDebris:0;NumberValidUnclassified:46567.00;NumberValidWells:155947;OddlyAggregatedFlag:2;OddlyAggregatedLocations:;OddlyAggregatedWorst:0;OffsetW488:( 0, 0 );OffsetW577:( 0, 0 );OffsetW647:( 0, 0 );OffsetW700:( 0, 0 );OffsetW750:( 0, 0 );ResorufinUnsaturated:0;ResorufinUnsaturatedMutated:0;ResorufinUnsaturaterNumberInFit:122;SaturatedDecodingWells:0;SuspiciousWells:24712;SuspiciousWellsFlagged:1;SuspiciousWellsLowerThreshold:5;Warnings:Xtalk: unusable out of spec wv 577 sr 4 dir 5 value 0.050.;WhiteLightChannelMedian:9881;XtalkSubregionsOutOfSpec:1</t>
  </si>
  <si>
    <t>0002_DecodingIntensityStdDev_577F1:91.340;0002_DecodingIntensityStdDev_577F2:195.834;0002_MeanDecodingIntensity_577F1:426.20;0002_MeanDecodingIntensity_577F2:471.01;0002AEB:00.2196;0002DecodingIntensityStdDev:365.971;0002DecodingIntensityStdDev_488:365.971;0002DecodingIntensityStdDev_647:5.142;0002DecodingIntensityStdDev_700:4.998;0002DecodingIntensityStdDev_750:6.405;0002F_on:0.1971;0002FillPercent:012.24;0002KineticInconsistentLower:0;0002KineticInconsistentMetadata:-500.856604158522|2.33;0002MeanDecodingIntensity:1611.83;0002MeanDecodingIntensity_488:1611.83;0002MeanDecodingIntensity_647:35.06;0002MeanDecodingIntensity_700:30.41;0002MeanDecodingIntensity_750:35.34;0002ReflectiveIntensity:13138.04;0002ReflectiveIntensityStdDev:619.731;0002SealTimeEstimate:20.6;0021_DecodingIntensityStdDev_577F1:42.528;0021_DecodingIntensityStdDev_577F2:83.909;0021_MeanDecodingIntensity_577F1:390.77;0021_MeanDecodingIntensity_577F2:398.76;0021AEB:00.0243;0021DecodingIntensityStdDev:86.197;0021DecodingIntensityStdDev_488:21.817;0021DecodingIntensityStdDev_647:86.197;0021DecodingIntensityStdDev_700:10.290;0021DecodingIntensityStdDev_750:6.558;0021F_on:0.0240;0021FillPercent:007.40;0021KineticInconsistentLower:0;0021KineticInconsistentMetadata:-501.815922838523|2.34;0021MeanDecodingIntensity:431.57;0021MeanDecodingIntensity_488:140.30;0021MeanDecodingIntensity_647:431.57;0021MeanDecodingIntensity_700:69.88;0021MeanDecodingIntensity_750:35.36;0021ReflectiveIntensity:12891.33;0021ReflectiveIntensityStdDev:523.988;0021SealTimeEstimate:20.4;0201_DecodingIntensityStdDev_577F1:42.968;0201_DecodingIntensityStdDev_577F2:86.670;0201_MeanDecodingIntensity_577F1:390.71;0201_MeanDecodingIntensity_577F2:399.96;0201AEB:00.0288;0201DecodingIntensityStdDev:114.237;0201DecodingIntensityStdDev_488:25.121;0201DecodingIntensityStdDev_647:17.721;0201DecodingIntensityStdDev_700:114.237;0201DecodingIntensityStdDev_750:11.194;0201F_on:0.0284;0201FillPercent:008.40;0201KineticInconsistentLower:0;0201KineticInconsistentMetadata:-531.697700112367|2.4;0201MeanDecodingIntensity:511.10;0201MeanDecodingIntensity_488:142.92;0201MeanDecodingIntensity_647:99.84;0201MeanDecodingIntensity_700:511.10;0201MeanDecodingIntensity_750:66.29;0201ReflectiveIntensity:12935.35;0201ReflectiveIntensityStdDev:549.044;0201SealTimeEstimate:19.5;2001_DecodingIntensityStdDev_577F1:45.361;2001_DecodingIntensityStdDev_577F2:88.375;2001_MeanDecodingIntensity_577F1:423.55;2001_MeanDecodingIntensity_577F2:431.94;2001AEB:00.0253;2001DecodingIntensityStdDev:237.055;2001DecodingIntensityStdDev_488:24.220;2001DecodingIntensityStdDev_647:5.622;2001DecodingIntensityStdDev_700:5.773;2001DecodingIntensityStdDev_750:237.055;2001F_on:0.0250;2001FillPercent:008.03;2001KineticInconsistentLower:0;2001KineticInconsistentMetadata:-604.499519727705|2.44;2001MeanDecodingIntensity:1026.64;2001MeanDecodingIntensity_488:142.86;2001MeanDecodingIntensity_647:38.33;2001MeanDecodingIntensity_700:34.77;2001MeanDecodingIntensity_750:1026.64;2001ReflectiveIntensity:12942.95;2001ReflectiveIntensityStdDev:568.423;2001SealTimeEstimate:19.0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11.09;Empties488F1MeanIntensity:64.73;Empties577F1IntensityStdDev:29.63;Empties577F1MeanIntensity:342.46;Empties577F2IntensityStdDev:34.50;Empties577F2MeanIntensity:341.61;Empties647F1IntensityStdDev:4.25;Empties647F1MeanIntensity:31.65;Empties700F1IntensityStdDev:4.13;Empties700F1MeanIntensity:29.34;Empties750F1IntensityStdDev:4.98;Empties750F1MeanIntensity:33.60;EmptiesIGrowth:537.48;EmptiesReflectiveIntensityStdDev:338.56;EmptiesReflectiveMeanIntensity:11765.78;Errors:;F2minusF1Shift:-0.5;FluorescenceClassification:Normal;Focus_FracImageLost:0.00;FocusScoresAvg:3.12;FocusScoresImageCenter:4.52;FocusScoresMax:4.93;FocusScoresMedian:3.15;FractionImageDebris:0.0733;FractionWellsDebris:0.0831;ImageQualityScoreIfUnpegged:1.00;IndexingWellsMissingFromFov:0;IndexingWellsTotalLostBothVisibleAndMissing:0;IndexingWellsVisibleInFovButRemoved:0;L1DR time (ms):26740;NetBeadFillRate:25.35;NormalizedFillPercentage:036.07;Notes:Xtalk: usable out of spec wv 577 sr 0 dir 0 value 0.036. | Xtalk: usable out of spec wv 577 sr 4 dir 5 value 0.041. | Xtalk: usable out of spec wv 577 sr 8 dir 4 value 0.041. | Xtalk: usable out of spec wv 488 sr 4 dir 5 value 0.041. | Xtalk: usable out of spec wv 488 sr 8 dir 5 value 0.036.;NumberDecSaturated:0;NumberEmpties:77038;NumberFlagged_DeadPixels:66.0000;NumberFlagged_Debris:16015.0000;NumberFlagged_MissingNeighbor:3544.0000;NumberFlagged_NeighborSaturated:06.0000;NumberFlagged_OutOfBounds:4158.0000;NumberFlagged_SaturatedPixelResorufinTwo:01.0000;NumberInvalidWells:21189;NumberPositiveEmpties:24;NumberPositives:7190;NumberResSaturated:1;NumberSaturatedWithoutDebris:0;NumberValidUnclassified:50949.00;NumberValidWells:171448;OddlyAggregatedFlag:2;OddlyAggregatedLocations:;OddlyAggregatedWorst:0;OffsetW488:( 0, 0 );OffsetW577:( 0, 0 );OffsetW647:( 0, 1 );OffsetW700:( 0, 0 );OffsetW750:( 0, 0 );ResorufinUnsaturated:0;ResorufinUnsaturatedMutated:0;ResorufinUnsaturaterNumberInFit:96;SaturatedDecodingWells:0;SuspiciousWells:26173;SuspiciousWellsFlagged:1;SuspiciousWellsLowerThreshold:4;Warnings:;WhiteLightChannelMedian:9878;XtalkSubregionsOutOfSpec:0</t>
  </si>
  <si>
    <t>0002_DecodingIntensityStdDev_577F1:77.510;0002_DecodingIntensityStdDev_577F2:175.498;0002_MeanDecodingIntensity_577F1:427.29;0002_MeanDecodingIntensity_577F2:467.23;0002AEB:00.1983;0002DecodingIntensityStdDev:362.616;0002DecodingIntensityStdDev_488:362.616;0002DecodingIntensityStdDev_647:5.656;0002DecodingIntensityStdDev_700:4.761;0002DecodingIntensityStdDev_750:6.020;0002F_on:0.1799;0002FillPercent:014.75;0002KineticInconsistentLower:0;0002KineticInconsistentMetadata:-563.868403576376|2.48;0002MeanDecodingIntensity:1629.30;0002MeanDecodingIntensity_488:1629.30;0002MeanDecodingIntensity_647:34.65;0002MeanDecodingIntensity_700:30.24;0002MeanDecodingIntensity_750:35.12;0002ReflectiveIntensity:13015.14;0002ReflectiveIntensityStdDev:632.055;0002SealTimeEstimate:18.4;0021_DecodingIntensityStdDev_577F1:35.438;0021_DecodingIntensityStdDev_577F2:72.137;0021_MeanDecodingIntensity_577F1:397.53;0021_MeanDecodingIntensity_577F2:404.05;0021AEB:00.0212;0021DecodingIntensityStdDev:86.738;0021DecodingIntensityStdDev_488:20.985;0021DecodingIntensityStdDev_647:86.738;0021DecodingIntensityStdDev_700:10.003;0021DecodingIntensityStdDev_750:6.191;0021F_on:0.0210;0021FillPercent:008.90;0021KineticInconsistentLower:0;0021KineticInconsistentMetadata:-574.918393003878|2.52;0021MeanDecodingIntensity:416.15;0021MeanDecodingIntensity_488:137.57;0021MeanDecodingIntensity_647:416.15;0021MeanDecodingIntensity_700:68.45;0021MeanDecodingIntensity_750:35.05;0021ReflectiveIntensity:12773.50;0021ReflectiveIntensityStdDev:517.780;0021SealTimeEstimate:17.9;0201_DecodingIntensityStdDev_577F1:45.581;0201_DecodingIntensityStdDev_577F2:95.638;0201_MeanDecodingIntensity_577F1:398.27;0201_MeanDecodingIntensity_577F2:405.62;0201AEB:00.0227;0201DecodingIntensityStdDev:118.396;0201DecodingIntensityStdDev_488:23.913;0201DecodingIntensityStdDev_647:19.099;0201DecodingIntensityStdDev_700:118.396;0201DecodingIntensityStdDev_750:10.882;0201F_on:0.0225;0201FillPercent:010.43;0201KineticInconsistentLower:0;0201KineticInconsistentMetadata:-598.815164617828|2.55;0201MeanDecodingIntensity:500.24;0201MeanDecodingIntensity_488:139.57;0201MeanDecodingIntensity_647:96.24;0201MeanDecodingIntensity_700:500.24;0201MeanDecodingIntensity_750:64.49;0201ReflectiveIntensity:12814.46;0201ReflectiveIntensityStdDev:554.304;0201SealTimeEstimate:17.6;2001_DecodingIntensityStdDev_577F1:44.227;2001_DecodingIntensityStdDev_577F2:87.248;2001_MeanDecodingIntensity_577F1:428.59;2001_MeanDecodingIntensity_577F2:436.46;2001AEB:00.0255;2001DecodingIntensityStdDev:222.981;2001DecodingIntensityStdDev_488:23.757;2001DecodingIntensityStdDev_647:5.436;2001DecodingIntensityStdDev_700:5.494;2001DecodingIntensityStdDev_750:222.981;2001F_on:0.0252;2001FillPercent:009.87;2001KineticInconsistentLower:0;2001KineticInconsistentMetadata:-640.481303702881|2.55;2001MeanDecodingIntensity:934.34;2001MeanDecodingIntensity_488:139.61;2001MeanDecodingIntensity_647:37.63;2001MeanDecodingIntensity_700:34.21;2001MeanDecodingIntensity_750:934.34;2001ReflectiveIntensity:12824.06;2001ReflectiveIntensityStdDev:566.127;2001SealTimeEstimate:17.6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11.36;Empties488F1MeanIntensity:68.33;Empties577F1IntensityStdDev:20.29;Empties577F1MeanIntensity:365.30;Empties577F2IntensityStdDev:24.80;Empties577F2MeanIntensity:363.76;Empties647F1IntensityStdDev:4.34;Empties647F1MeanIntensity:31.43;Empties700F1IntensityStdDev:4.31;Empties700F1MeanIntensity:29.53;Empties750F1IntensityStdDev:5.13;Empties750F1MeanIntensity:33.83;EmptiesIGrowth:352.55;EmptiesReflectiveIntensityStdDev:337.71;EmptiesReflectiveMeanIntensity:11608.16;Errors:;F2minusF1Shift:-1.4;FluorescenceClassification:Normal;Focus_FracImageLost:0.00;FocusScoresAvg:3.17;FocusScoresImageCenter:3.99;FocusScoresMax:4.85;FocusScoresMedian:3.14;FractionImageDebris:0.0368;FractionWellsDebris:0.0441;ImageQualityScoreIfUnpegged:1.00;IndexingWellsMissingFromFov:0;IndexingWellsTotalLostBothVisibleAndMissing:0;IndexingWellsVisibleInFovButRemoved:0;L1DR time (ms):27366;NetBeadFillRate:30.85;NormalizedFillPercentage:043.95;Notes:Xtalk: usable out of spec wv 577 sr 4 dir 5 value 0.038. | Xtalk: usable out of spec wv 577 sr 8 dir 5 value 0.038.;NumberDecSaturated:0;NumberEmpties:70609;NumberFlagged_DeadPixels:74.0000;NumberFlagged_Debris:8511.0000;NumberFlagged_MissingNeighbor:2747.0000;NumberFlagged_NeighborSaturated:06.0000;NumberFlagged_OutOfBounds:4120.0000;NumberFlagged_SaturatedPixelResorufinTwo:01.0000;NumberInvalidWells:13358;NumberPositiveEmpties:38;NumberPositives:7818;NumberResSaturated:1;NumberSaturatedWithoutDebris:1;NumberValidUnclassified:53472.00;NumberValidWells:179444;OddlyAggregatedFlag:2;OddlyAggregatedLocations:;OddlyAggregatedWorst:0;OffsetW488:( 0, 0 );OffsetW577:( 0, 0 );OffsetW647:( 0, 1 );OffsetW700:( 0, 0 );OffsetW750:( 0, 0 );ResorufinUnsaturated:0;ResorufinUnsaturatedMutated:0;ResorufinUnsaturaterNumberInFit:79;SaturatedDecodingWells:1;SuspiciousWells:22786;SuspiciousWellsFlagged:1;SuspiciousWellsLowerThreshold:4;Warnings:;WhiteLightChannelMedian:9870;XtalkSubregionsOutOfSpec:0</t>
  </si>
  <si>
    <t>spikein-1-8-2</t>
  </si>
  <si>
    <t>Plate 2 - Well H2</t>
  </si>
  <si>
    <t>0002_DecodingIntensityStdDev_577F1:67.842;0002_DecodingIntensityStdDev_577F2:169.972;0002_MeanDecodingIntensity_577F1:423.81;0002_MeanDecodingIntensity_577F2:467.89;0002AEB:00.2226;0002DecodingIntensityStdDev:415.046;0002DecodingIntensityStdDev_488:415.046;0002DecodingIntensityStdDev_647:5.579;0002DecodingIntensityStdDev_700:5.654;0002DecodingIntensityStdDev_750:7.343;0002F_on:0.1996;0002FillPercent:016.24;0002KineticInconsistentLower:0;0002KineticInconsistentMetadata:-682.608270312547|2.8;0002MeanDecodingIntensity:1577.55;0002MeanDecodingIntensity_488:1577.55;0002MeanDecodingIntensity_647:35.20;0002MeanDecodingIntensity_700:30.82;0002MeanDecodingIntensity_750:36.03;0002ReflectiveIntensity:13241.93;0002ReflectiveIntensityStdDev:634.333;0002SealTimeEstimate:15.1;0021_DecodingIntensityStdDev_577F1:40.379;0021_DecodingIntensityStdDev_577F2:92.228;0021_MeanDecodingIntensity_577F1:400.12;0021_MeanDecodingIntensity_577F2:410.83;0021AEB:00.0343;0021DecodingIntensityStdDev:112.376;0021DecodingIntensityStdDev_488:44.415;0021DecodingIntensityStdDev_647:112.376;0021DecodingIntensityStdDev_700:17.752;0021DecodingIntensityStdDev_750:8.698;0021F_on:0.0338;0021FillPercent:009.94;0021KineticInconsistentLower:0;0021KineticInconsistentMetadata:-713.083998785543|2.87;0021MeanDecodingIntensity:422.00;0021MeanDecodingIntensity_488:144.68;0021MeanDecodingIntensity_647:422.00;0021MeanDecodingIntensity_700:70.12;0021MeanDecodingIntensity_750:36.81;0021ReflectiveIntensity:13034.15;0021ReflectiveIntensityStdDev:564.183;0021SealTimeEstimate:14.5;0201_DecodingIntensityStdDev_577F1:56.733;0201_DecodingIntensityStdDev_577F2:120.754;0201_MeanDecodingIntensity_577F1:405.03;0201_MeanDecodingIntensity_577F2:417.21;0201AEB:00.0397;0201DecodingIntensityStdDev:153.469;0201DecodingIntensityStdDev_488:138.453;0201DecodingIntensityStdDev_647:77.636;0201DecodingIntensityStdDev_700:153.469;0201DecodingIntensityStdDev_750:40.614;0201F_on:0.0389;0201FillPercent:012.16;0201KineticInconsistentLower:0;0201KineticInconsistentMetadata:-717.523199970409|2.84;0201MeanDecodingIntensity:507.74;0201MeanDecodingIntensity_488:171.82;0201MeanDecodingIntensity_647:116.24;0201MeanDecodingIntensity_700:507.74;0201MeanDecodingIntensity_750:71.34;0201ReflectiveIntensity:13182.57;0201ReflectiveIntensityStdDev:647.908;0201SealTimeEstimate:14.7;2001_DecodingIntensityStdDev_577F1:46.387;2001_DecodingIntensityStdDev_577F2:94.196;2001_MeanDecodingIntensity_577F1:431.68;2001_MeanDecodingIntensity_577F2:442.63;2001AEB:00.0378;2001DecodingIntensityStdDev:282.184;2001DecodingIntensityStdDev_488:149.009;2001DecodingIntensityStdDev_647:22.868;2001DecodingIntensityStdDev_700:11.895;2001DecodingIntensityStdDev_750:282.184;2001F_on:0.0371;2001FillPercent:011.35;2001KineticInconsistentLower:0;2001KineticInconsistentMetadata:-812.874142106383|2.92;2001MeanDecodingIntensity:948.20;2001MeanDecodingIntensity_488:171.31;2001MeanDecodingIntensity_647:41.08;2001MeanDecodingIntensity_700:35.95;2001MeanDecodingIntensity_750:948.20;2001ReflectiveIntensity:13123.31;2001ReflectiveIntensityStdDev:624.716;2001SealTimeEstimate:14.1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13.68;Empties488F1MeanIntensity:69.04;Empties577F1IntensityStdDev:23.05;Empties577F1MeanIntensity:365.46;Empties577F2IntensityStdDev:41.63;Empties577F2MeanIntensity:364.12;Empties647F1IntensityStdDev:4.76;Empties647F1MeanIntensity:31.58;Empties700F1IntensityStdDev:4.83;Empties700F1MeanIntensity:29.53;Empties750F1IntensityStdDev:5.87;Empties750F1MeanIntensity:34.11;EmptiesIGrowth:440.62;EmptiesReflectiveIntensityStdDev:322.06;EmptiesReflectiveMeanIntensity:11856.89;Errors:;F2minusF1Shift:-0.2;FluorescenceClassification:Normal;Focus_FracImageLost:0.01;FocusScoresAvg:3.42;FocusScoresImageCenter:4.70;FocusScoresMax:5.56;FocusScoresMedian:3.41;FractionImageDebris:0.2021;FractionWellsDebris:0.1914;ImageQualityScoreIfUnpegged:0.60;IndexingWellsMissingFromFov:0;IndexingWellsTotalLostBothVisibleAndMissing:0;IndexingWellsVisibleInFovButRemoved:0;L1DR time (ms):24035;NetBeadFillRate:34.85;NormalizedFillPercentage:049.70;Notes:Xtalk: usable out of spec wv 577 sr 0 dir 5 value 0.038. | Xtalk: usable out of spec wv 577 sr 4 dir 5 value 0.048. | Xtalk: usable out of spec wv 700 sr 4 dir 5 value 0.038. | Xtalk: usable out of spec wv 488 sr 4 dir 5 value 0.043.;NumberDecSaturated:0;NumberEmpties:44651;NumberFlagged_DeadPixels:74.0000;NumberFlagged_Debris:35867.0000;NumberFlagged_MissingNeighbor:11450.0000;NumberFlagged_NeighborSaturated:06.0000;NumberFlagged_OddlyRecurrentClassification:16634.0000;NumberFlagged_OutOfBounds:3984.0000;NumberFlagged_OutOfFocus:988.0000;NumberFlagged_OutOfSpecXtalk:15889.0000;NumberFlagged_SaturatedPixelResorufinTwo:01.0000;NumberInvalidWells:60829;NumberPositiveEmpties:91;NumberPositives:13017;NumberResSaturated:1;NumberSaturatedWithoutDebris:0;NumberValidUnclassified:37806.00;NumberValidWells:126567;OddlyAggregatedFlag:2;OddlyAggregatedLocations:;OddlyAggregatedWorst:0;OffsetW488:( 0, 0 );OffsetW577:( 0, 0 );OffsetW647:( 0, 0 );OffsetW700:( 0, 0 );OffsetW750:( 0, 0 );ResorufinUnsaturated:0;ResorufinUnsaturatedMutated:0;ResorufinUnsaturaterNumberInFit:44;SaturatedDecodingWells:0;SuspiciousWells:17084;SuspiciousWellsFlagged:1;SuspiciousWellsLowerThreshold:7;Warnings:Xtalk: unusable out of spec wv 577 sr 8 dir 5 value 0.053.;WhiteLightChannelMedian:10056;XtalkSubregionsOutOfSpec:1</t>
  </si>
  <si>
    <t>0002_DecodingIntensityStdDev_577F1:84.685;0002_DecodingIntensityStdDev_577F2:184.095;0002_MeanDecodingIntensity_577F1:419.28;0002_MeanDecodingIntensity_577F2:463.20;0002AEB:00.2209;0002DecodingIntensityStdDev:376.943;0002DecodingIntensityStdDev_488:376.943;0002DecodingIntensityStdDev_647:5.318;0002DecodingIntensityStdDev_700:5.237;0002DecodingIntensityStdDev_750:6.869;0002F_on:0.1982;0002FillPercent:015.89;0002KineticInconsistentLower:0;0002KineticInconsistentMetadata:-502.986126309592|2.37;0002MeanDecodingIntensity:1601.46;0002MeanDecodingIntensity_488:1601.46;0002MeanDecodingIntensity_647:35.34;0002MeanDecodingIntensity_700:30.71;0002MeanDecodingIntensity_750:36.11;0002ReflectiveIntensity:13356.21;0002ReflectiveIntensityStdDev:642.646;0002SealTimeEstimate:20.0;0021_DecodingIntensityStdDev_577F1:44.217;0021_DecodingIntensityStdDev_577F2:90.681;0021_MeanDecodingIntensity_577F1:388.06;0021_MeanDecodingIntensity_577F2:398.91;0021AEB:00.0318;0021DecodingIntensityStdDev:95.757;0021DecodingIntensityStdDev_488:24.827;0021DecodingIntensityStdDev_647:95.757;0021DecodingIntensityStdDev_700:11.357;0021DecodingIntensityStdDev_750:7.344;0021F_on:0.0313;0021FillPercent:009.45;0021KineticInconsistentLower:0;0021KineticInconsistentMetadata:-543.836052529579|2.47;0021MeanDecodingIntensity:434.78;0021MeanDecodingIntensity_488:143.93;0021MeanDecodingIntensity_647:434.78;0021MeanDecodingIntensity_700:71.35;0021MeanDecodingIntensity_750:36.24;0021ReflectiveIntensity:13126.28;0021ReflectiveIntensityStdDev:553.470;0021SealTimeEstimate:18.6;0201_DecodingIntensityStdDev_577F1:48.575;0201_DecodingIntensityStdDev_577F2:98.100;0201_MeanDecodingIntensity_577F1:390.11;0201_MeanDecodingIntensity_577F2:402.03;0201AEB:00.0358;0201DecodingIntensityStdDev:140.163;0201DecodingIntensityStdDev_488:32.329;0201DecodingIntensityStdDev_647:31.513;0201DecodingIntensityStdDev_700:140.163;0201DecodingIntensityStdDev_750:13.072;0201F_on:0.0352;0201FillPercent:011.07;0201KineticInconsistentLower:0;0201KineticInconsistentMetadata:-527.433649968977|2.43;0201MeanDecodingIntensity:519.09;0201MeanDecodingIntensity_488:147.51;0201MeanDecodingIntensity_647:102.50;0201MeanDecodingIntensity_700:519.09;0201MeanDecodingIntensity_750:67.45;0201ReflectiveIntensity:13206.91;0201ReflectiveIntensityStdDev:614.085;0201SealTimeEstimate:19.1;2001_DecodingIntensityStdDev_577F1:52.756;2001_DecodingIntensityStdDev_577F2:103.305;2001_MeanDecodingIntensity_577F1:422.02;2001_MeanDecodingIntensity_577F2:433.79;2001AEB:00.0345;2001DecodingIntensityStdDev:258.338;2001DecodingIntensityStdDev_488:38.405;2001DecodingIntensityStdDev_647:8.303;2001DecodingIntensityStdDev_700:6.666;2001DecodingIntensityStdDev_750:258.338;2001F_on:0.0340;2001FillPercent:010.38;2001KineticInconsistentLower:0;2001KineticInconsistentMetadata:-527.161076128808|2.34;2001MeanDecodingIntensity:1033.75;2001MeanDecodingIntensity_488:147.40;2001MeanDecodingIntensity_647:39.01;2001MeanDecodingIntensity_700:35.44;2001MeanDecodingIntensity_750:1033.75;2001ReflectiveIntensity:13182.87;2001ReflectiveIntensityStdDev:598.520;2001SealTimeEstimate:20.4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12.81;Empties488F1MeanIntensity:67.11;Empties577F1IntensityStdDev:23.70;Empties577F1MeanIntensity:349.53;Empties577F2IntensityStdDev:34.92;Empties577F2MeanIntensity:349.31;Empties647F1IntensityStdDev:4.67;Empties647F1MeanIntensity:31.70;Empties700F1IntensityStdDev:4.68;Empties700F1MeanIntensity:29.71;Empties750F1IntensityStdDev:5.88;Empties750F1MeanIntensity:34.37;EmptiesIGrowth:479.39;EmptiesReflectiveIntensityStdDev:356.88;EmptiesReflectiveMeanIntensity:11923.86;Errors:;F2minusF1Shift:-1.8;FluorescenceClassification:Normal;Focus_FracImageLost:0.00;FocusScoresAvg:3.32;FocusScoresImageCenter:4.79;FocusScoresMax:5.32;FocusScoresMedian:3.38;FractionImageDebris:0.0786;FractionWellsDebris:0.0882;ImageQualityScoreIfUnpegged:1.00;IndexingWellsMissingFromFov:0;IndexingWellsTotalLostBothVisibleAndMissing:0;IndexingWellsVisibleInFovButRemoved:0;L1DR time (ms):27495;NetBeadFillRate:32.82;NormalizedFillPercentage:046.79;Notes:Xtalk: usable out of spec wv 577 sr 4 dir 5 value 0.043. | Xtalk: usable out of spec wv 577 sr 8 dir 5 value 0.046. | Xtalk: usable out of spec wv 488 sr 4 dir 5 value 0.036.;NumberDecSaturated:0;NumberEmpties:63721;NumberFlagged_DeadPixels:79.0000;NumberFlagged_Debris:16982.0000;NumberFlagged_MissingNeighbor:3319.0000;NumberFlagged_NeighborSaturated:06.0000;NumberFlagged_OutOfBounds:4097.0000;NumberFlagged_SaturatedPixelResorufinTwo:01.0000;NumberInvalidWells:21815;NumberPositiveEmpties:47;NumberPositives:10691;NumberResSaturated:1;NumberSaturatedWithoutDebris:1;NumberValidUnclassified:50970.00;NumberValidWells:170715;OddlyAggregatedFlag:2;OddlyAggregatedLocations:;OddlyAggregatedWorst:0;OffsetW488:( 0, 0 );OffsetW577:( 0, 0 );OffsetW647:( 0, 0 );OffsetW700:( 0, 0 );OffsetW750:( 0, 0 );ResorufinUnsaturated:0;ResorufinUnsaturatedMutated:0;ResorufinUnsaturaterNumberInFit:119;SaturatedDecodingWells:0;SuspiciousWells:20182;SuspiciousWellsFlagged:1;SuspiciousWellsLowerThreshold:6;Warnings:;WhiteLightChannelMedian:10145;XtalkSubregionsOutOfSpec:0</t>
  </si>
  <si>
    <t>0002_DecodingIntensityStdDev_577F1:84.361;0002_DecodingIntensityStdDev_577F2:191.516;0002_MeanDecodingIntensity_577F1:424.08;0002_MeanDecodingIntensity_577F2:470.16;0002AEB:00.2216;0002DecodingIntensityStdDev:348.790;0002DecodingIntensityStdDev_488:348.790;0002DecodingIntensityStdDev_647:4.881;0002DecodingIntensityStdDev_700:4.827;0002DecodingIntensityStdDev_750:6.184;0002F_on:0.1988;0002FillPercent:016.09;0002KineticInconsistentLower:0;0002KineticInconsistentMetadata:-556.537133989586|2.49;0002MeanDecodingIntensity:1565.65;0002MeanDecodingIntensity_488:1565.65;0002MeanDecodingIntensity_647:34.38;0002MeanDecodingIntensity_700:30.13;0002MeanDecodingIntensity_750:34.99;0002ReflectiveIntensity:13067.61;0002ReflectiveIntensityStdDev:604.119;0002SealTimeEstimate:18.3;0021_DecodingIntensityStdDev_577F1:50.938;0021_DecodingIntensityStdDev_577F2:108.103;0021_MeanDecodingIntensity_577F1:393.48;0021_MeanDecodingIntensity_577F2:404.31;0021AEB:00.0312;0021DecodingIntensityStdDev:85.361;0021DecodingIntensityStdDev_488:20.765;0021DecodingIntensityStdDev_647:85.361;0021DecodingIntensityStdDev_700:9.698;0021DecodingIntensityStdDev_750:6.402;0021F_on:0.0307;0021FillPercent:009.35;0021KineticInconsistentLower:0;0021KineticInconsistentMetadata:-558.070785393017|2.5;0021MeanDecodingIntensity:414.29;0021MeanDecodingIntensity_488:132.93;0021MeanDecodingIntensity_647:414.29;0021MeanDecodingIntensity_700:68.17;0021MeanDecodingIntensity_750:34.96;0021ReflectiveIntensity:12823.18;0021ReflectiveIntensityStdDev:494.247;0021SealTimeEstimate:18.2;0201_DecodingIntensityStdDev_577F1:45.412;0201_DecodingIntensityStdDev_577F2:93.875;0201_MeanDecodingIntensity_577F1:393.40;0201_MeanDecodingIntensity_577F2:403.99;0201AEB:00.0322;0201DecodingIntensityStdDev:122.759;0201DecodingIntensityStdDev_488:24.980;0201DecodingIntensityStdDev_647:21.773;0201DecodingIntensityStdDev_700:122.759;0201DecodingIntensityStdDev_750:11.220;0201F_on:0.0317;0201FillPercent:010.98;0201KineticInconsistentLower:0;0201KineticInconsistentMetadata:-551.058860035239|2.49;0201MeanDecodingIntensity:497.84;0201MeanDecodingIntensity_488:135.68;0201MeanDecodingIntensity_647:96.39;0201MeanDecodingIntensity_700:497.84;0201MeanDecodingIntensity_750:64.02;0201ReflectiveIntensity:12899.98;0201ReflectiveIntensityStdDev:552.640;0201SealTimeEstimate:18.3;2001_DecodingIntensityStdDev_577F1:57.735;2001_DecodingIntensityStdDev_577F2:122.240;2001_MeanDecodingIntensity_577F1:424.25;2001_MeanDecodingIntensity_577F2:436.65;2001AEB:00.0366;2001DecodingIntensityStdDev:226.416;2001DecodingIntensityStdDev_488:24.106;2001DecodingIntensityStdDev_647:5.503;2001DecodingIntensityStdDev_700:5.560;2001DecodingIntensityStdDev_750:226.416;2001F_on:0.0359;2001FillPercent:010.58;2001KineticInconsistentLower:0;2001KineticInconsistentMetadata:-651.400508850339|2.59;2001MeanDecodingIntensity:943.83;2001MeanDecodingIntensity_488:135.44;2001MeanDecodingIntensity_647:37.39;2001MeanDecodingIntensity_700:34.03;2001MeanDecodingIntensity_750:943.83;2001ReflectiveIntensity:12885.17;2001ReflectiveIntensityStdDev:545.848;2001SealTimeEstimate:17.1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11.26;Empties488F1MeanIntensity:63.29;Empties577F1IntensityStdDev:22.34;Empties577F1MeanIntensity:360.34;Empties577F2IntensityStdDev:27.52;Empties577F2MeanIntensity:359.66;Empties647F1IntensityStdDev:4.32;Empties647F1MeanIntensity:31.05;Empties700F1IntensityStdDev:4.34;Empties700F1MeanIntensity:29.20;Empties750F1IntensityStdDev:5.29;Empties750F1MeanIntensity:33.46;EmptiesIGrowth:348.27;EmptiesReflectiveIntensityStdDev:281.91;EmptiesReflectiveMeanIntensity:11640.73;Errors:;F2minusF1Shift:-1.6;FluorescenceClassification:Normal;Focus_FracImageLost:0.00;FocusScoresAvg:3.13;FocusScoresImageCenter:4.34;FocusScoresMax:4.92;FocusScoresMedian:3.19;FractionImageDebris:0.0642;FractionWellsDebris:0.0752;ImageQualityScoreIfUnpegged:1.00;IndexingWellsMissingFromFov:0;IndexingWellsTotalLostBothVisibleAndMissing:0;IndexingWellsVisibleInFovButRemoved:0;L1DR time (ms):28628;NetBeadFillRate:32.98;NormalizedFillPercentage:047.00;Notes:Xtalk: usable out of spec wv 577 sr 8 dir 5 value 0.038. | Xtalk: usable out of spec wv 488 sr 4 dir 5 value 0.036.;NumberDecSaturated:0;NumberEmpties:64455;NumberFlagged_DeadPixels:76.0000;NumberFlagged_Debris:14489.0000;NumberFlagged_MissingNeighbor:2896.0000;NumberFlagged_NeighborSaturated:06.0000;NumberFlagged_OutOfBounds:4203.0000;NumberFlagged_SaturatedPixelResorufinTwo:01.0000;NumberInvalidWells:19380;NumberPositiveEmpties:42;NumberPositives:10142;NumberResSaturated:1;NumberSaturatedWithoutDebris:1;NumberValidUnclassified:51686.00;NumberValidWells:173305;OddlyAggregatedFlag:2;OddlyAggregatedLocations:;OddlyAggregatedWorst:0;OffsetW488:( 0, 0 );OffsetW577:( 0, 0 );OffsetW647:( 0, 0 );OffsetW700:( 0, 0 );OffsetW750:( 0, 0 );ResorufinUnsaturated:0;ResorufinUnsaturatedMutated:0;ResorufinUnsaturaterNumberInFit:109;SaturatedDecodingWells:0;SuspiciousWells:24974;SuspiciousWellsFlagged:1;SuspiciousWellsLowerThreshold:4;Warnings:;WhiteLightChannelMedian:9951;XtalkSubregionsOutOfSpec:0</t>
  </si>
  <si>
    <t>spikein-1-2-1</t>
  </si>
  <si>
    <t>Plate 2 - Well A3</t>
  </si>
  <si>
    <t>0002_DecodingIntensityStdDev_577F1:47.708;0002_DecodingIntensityStdDev_577F2:152.236;0002_MeanDecodingIntensity_577F1:414.50;0002_MeanDecodingIntensity_577F2:453.17;0002AEB:00.1621;0002DecodingIntensityStdDev:382.092;0002DecodingIntensityStdDev_488:382.092;0002DecodingIntensityStdDev_647:5.224;0002DecodingIntensityStdDev_700:5.248;0002DecodingIntensityStdDev_750:6.733;0002F_on:0.1497;0002FillPercent:016.05;0002KineticInconsistentLower:0;0002KineticInconsistentMetadata:-1059.64237982158|3.78;0002MeanDecodingIntensity:1540.10;0002MeanDecodingIntensity_488:1540.10;0002MeanDecodingIntensity_647:34.81;0002MeanDecodingIntensity_700:30.53;0002MeanDecodingIntensity_750:35.52;0002ReflectiveIntensity:13306.19;0002ReflectiveIntensityStdDev:636.119;0002SealTimeEstimate:9.6;0021_DecodingIntensityStdDev_577F1:39.243;0021_DecodingIntensityStdDev_577F2:119.849;0021_MeanDecodingIntensity_577F1:403.09;0021_MeanDecodingIntensity_577F2:422.51;0021AEB:00.0592;0021DecodingIntensityStdDev:91.381;0021DecodingIntensityStdDev_488:27.577;0021DecodingIntensityStdDev_647:91.381;0021DecodingIntensityStdDev_700:10.929;0021DecodingIntensityStdDev_750:7.306;0021F_on:0.0575;0021FillPercent:009.69;0021KineticInconsistentLower:0;0021KineticInconsistentMetadata:-1109.76587282777|3.92;0021MeanDecodingIntensity:403.76;0021MeanDecodingIntensity_488:145.27;0021MeanDecodingIntensity_647:403.76;0021MeanDecodingIntensity_700:66.81;0021MeanDecodingIntensity_750:35.89;0021ReflectiveIntensity:13091.92;0021ReflectiveIntensityStdDev:544.697;0021SealTimeEstimate:9.2;0201_DecodingIntensityStdDev_577F1:41.409;0201_DecodingIntensityStdDev_577F2:123.993;0201_MeanDecodingIntensity_577F1:404.98;0201_MeanDecodingIntensity_577F2:426.60;0201AEB:00.0654;0201DecodingIntensityStdDev:144.084;0201DecodingIntensityStdDev_488:40.985;0201DecodingIntensityStdDev_647:43.480;0201DecodingIntensityStdDev_700:144.084;0201DecodingIntensityStdDev_750:14.034;0201F_on:0.0633;0201FillPercent:011.26;0201KineticInconsistentLower:0;0201KineticInconsistentMetadata:-1123.02869828135|3.94;0201MeanDecodingIntensity:483.35;0201MeanDecodingIntensity_488:151.72;0201MeanDecodingIntensity_647:102.79;0201MeanDecodingIntensity_700:483.35;0201MeanDecodingIntensity_750:64.37;0201ReflectiveIntensity:13226.92;0201ReflectiveIntensityStdDev:645.636;0201SealTimeEstimate:9.1;2001_DecodingIntensityStdDev_577F1:45.180;2001_DecodingIntensityStdDev_577F2:128.828;2001_MeanDecodingIntensity_577F1:431.62;2001_MeanDecodingIntensity_577F2:452.40;2001AEB:00.0620;2001DecodingIntensityStdDev:273.859;2001DecodingIntensityStdDev_488:52.350;2001DecodingIntensityStdDev_647:8.899;2001DecodingIntensityStdDev_700:7.337;2001DecodingIntensityStdDev_750:273.859;2001F_on:0.0601;2001FillPercent:010.79;2001KineticInconsistentLower:0;2001KineticInconsistentMetadata:-1141.91445071766|3.82;2001MeanDecodingIntensity:899.59;2001MeanDecodingIntensity_488:151.67;2001MeanDecodingIntensity_647:38.50;2001MeanDecodingIntensity_700:34.88;2001MeanDecodingIntensity_750:899.59;2001ReflectiveIntensity:13187.53;2001ReflectiveIntensityStdDev:620.545;2001SealTimeEstimate: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13.29;Empties488F1MeanIntensity:68.94;Empties577F1IntensityStdDev:20.79;Empties577F1MeanIntensity:371.01;Empties577F2IntensityStdDev:27.67;Empties577F2MeanIntensity:369.73;Empties647F1IntensityStdDev:4.53;Empties647F1MeanIntensity:31.32;Empties700F1IntensityStdDev:4.58;Empties700F1MeanIntensity:29.42;Empties750F1IntensityStdDev:5.58;Empties750F1MeanIntensity:33.95;EmptiesIGrowth:438.84;EmptiesReflectiveIntensityStdDev:326.90;EmptiesReflectiveMeanIntensity:11870.96;Errors:;F2minusF1Shift:-1.6;FluorescenceClassification:Normal;Focus_FracImageLost:0.00;FocusScoresAvg:3.37;FocusScoresImageCenter:4.69;FocusScoresMax:4.85;FocusScoresMedian:3.37;FractionImageDebris:0.0749;FractionWellsDebris:0.0864;ImageQualityScoreIfUnpegged:1.00;IndexingWellsMissingFromFov:0;IndexingWellsTotalLostBothVisibleAndMissing:0;IndexingWellsVisibleInFovButRemoved:0;L1DR time (ms):28477;NetBeadFillRate:33.53;NormalizedFillPercentage:047.79;Notes:Xtalk: usable out of spec wv 577 sr 0 dir 5 value 0.036. | Xtalk: usable out of spec wv 577 sr 4 dir 5 value 0.048. | Xtalk: usable out of spec wv 577 sr 8 dir 5 value 0.046. | Xtalk: usable out of spec wv 577 sr 9 dir 5 value 0.041. | Xtalk: usable out of spec wv 700 sr 8 dir 5 value 0.036. | Xtalk: usable out of spec wv 488 sr 4 dir 5 value 0.041.;NumberDecSaturated:0;NumberEmpties:62641;NumberFlagged_DeadPixels:83.0000;NumberFlagged_Debris:16642.0000;NumberFlagged_MissingNeighbor:2803.0000;NumberFlagged_OutOfBounds:4199.0000;NumberInvalidWells:21471;NumberPositiveEmpties:50;NumberPositives:11055;NumberResSaturated:0;NumberSaturatedWithoutDebris:0;NumberValidUnclassified:51053.00;NumberValidWells:171034;OddlyAggregatedFlag:2;OddlyAggregatedLocations:;OddlyAggregatedWorst:0;OffsetW488:( 0, 0 );OffsetW577:( 0, 0 );OffsetW647:( 0, 0 );OffsetW700:( 0, 0 );OffsetW750:( 0, -1 );ResorufinUnsaturated:0;ResorufinUnsaturatedMutated:0;ResorufinUnsaturaterNumberInFit:24;SaturatedDecodingWells:0;SuspiciousWells:24126;SuspiciousWellsFlagged:1;SuspiciousWellsLowerThreshold:6;Warnings:;WhiteLightChannelMedian:10054;XtalkSubregionsOutOfSpec:0</t>
  </si>
  <si>
    <t>0002_DecodingIntensityStdDev_577F1:88.428;0002_DecodingIntensityStdDev_577F2:189.844;0002_MeanDecodingIntensity_577F1:425.36;0002_MeanDecodingIntensity_577F2:461.71;0002AEB:00.1614;0002DecodingIntensityStdDev:381.734;0002DecodingIntensityStdDev_488:381.734;0002DecodingIntensityStdDev_647:5.294;0002DecodingIntensityStdDev_700:5.310;0002DecodingIntensityStdDev_750:6.996;0002F_on:0.1491;0002FillPercent:015.79;0002KineticInconsistentLower:0;0002KineticInconsistentMetadata:-513.92080716575|2.36;0002MeanDecodingIntensity:1631.75;0002MeanDecodingIntensity_488:1631.75;0002MeanDecodingIntensity_647:35.29;0002MeanDecodingIntensity_700:30.84;0002MeanDecodingIntensity_750:35.82;0002ReflectiveIntensity:13481.02;0002ReflectiveIntensityStdDev:641.998;0002SealTimeEstimate:20.1;0021_DecodingIntensityStdDev_577F1:66.336;0021_DecodingIntensityStdDev_577F2:141.476;0021_MeanDecodingIntensity_577F1:406.53;0021_MeanDecodingIntensity_577F2:425.32;0021AEB:00.0586;0021DecodingIntensityStdDev:96.800;0021DecodingIntensityStdDev_488:28.063;0021DecodingIntensityStdDev_647:96.800;0021DecodingIntensityStdDev_700:11.597;0021DecodingIntensityStdDev_750:7.797;0021F_on:0.0569;0021FillPercent:009.28;0021KineticInconsistentLower:0;0021KineticInconsistentMetadata:-540.689205353453|2.42;0021MeanDecodingIntensity:443.39;0021MeanDecodingIntensity_488:154.30;0021MeanDecodingIntensity_647:443.39;0021MeanDecodingIntensity_700:71.86;0021MeanDecodingIntensity_750:36.40;0021ReflectiveIntensity:13260.11;0021ReflectiveIntensityStdDev:582.578;0021SealTimeEstimate:19.2;0201_DecodingIntensityStdDev_577F1:77.440;0201_DecodingIntensityStdDev_577F2:164.067;0201_MeanDecodingIntensity_577F1:410.63;0201_MeanDecodingIntensity_577F2:432.25;0201AEB:00.0673;0201DecodingIntensityStdDev:149.969;0201DecodingIntensityStdDev_488:51.204;0201DecodingIntensityStdDev_647:52.087;0201DecodingIntensityStdDev_700:149.969;0201DecodingIntensityStdDev_750:18.032;0201F_on:0.0650;0201FillPercent:011.59;0201KineticInconsistentLower:0;0201KineticInconsistentMetadata:-535.738146567545|2.41;0201MeanDecodingIntensity:530.02;0201MeanDecodingIntensity_488:160.95;0201MeanDecodingIntensity_647:110.27;0201MeanDecodingIntensity_700:530.02;0201MeanDecodingIntensity_750:68.34;0201ReflectiveIntensity:13391.98;0201ReflectiveIntensityStdDev:670.183;0201SealTimeEstimate:19.4;2001_DecodingIntensityStdDev_577F1:79.019;2001_DecodingIntensityStdDev_577F2:165.729;2001_MeanDecodingIntensity_577F1:439.96;2001_MeanDecodingIntensity_577F2:460.22;2001AEB:00.0586;2001DecodingIntensityStdDev:282.487;2001DecodingIntensityStdDev_488:74.668;2001DecodingIntensityStdDev_647:10.746;2001DecodingIntensityStdDev_700:8.101;2001DecodingIntensityStdDev_750:282.487;2001F_on:0.0569;2001FillPercent:010.60;2001KineticInconsistentLower:0;2001KineticInconsistentMetadata:-591.586489461421|2.43;2001MeanDecodingIntensity:996.18;2001MeanDecodingIntensity_488:164.53;2001MeanDecodingIntensity_647:39.57;2001MeanDecodingIntensity_700:35.60;2001MeanDecodingIntensity_750:996.18;2001ReflectiveIntensity:13353.36;2001ReflectiveIntensityStdDev:645.933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13.56;Empties488F1MeanIntensity:69.23;Empties577F1IntensityStdDev:22.55;Empties577F1MeanIntensity:363.37;Empties577F2IntensityStdDev:31.10;Empties577F2MeanIntensity:362.50;Empties647F1IntensityStdDev:4.64;Empties647F1MeanIntensity:31.37;Empties700F1IntensityStdDev:4.78;Empties700F1MeanIntensity:29.58;Empties750F1IntensityStdDev:5.84;Empties750F1MeanIntensity:33.99;EmptiesIGrowth:414.54;EmptiesReflectiveIntensityStdDev:374.31;EmptiesReflectiveMeanIntensity:11970.66;Errors:;F2minusF1Shift:-1.7;FittedF2OverF1Intercept:-455.369521888312;FittedF2OverF1Slope:2.11479499016283;FluorescenceClassification:Normal;Focus_FracImageLost:0.00;FocusScoresAvg:3.52;FocusScoresImageCenter:4.69;FocusScoresMax:4.96;FocusScoresMedian:3.50;FractionImageDebris:0.0618;FractionWellsDebris:0.0691;ImageQualityScoreIfUnpegged:1.00;IndexingWellsMissingFromFov:0;IndexingWellsTotalLostBothVisibleAndMissing:0;IndexingWellsVisibleInFovButRemoved:0;L1DR time (ms):29406;NetBeadFillRate:33.15;NormalizedFillPercentage:047.26;Notes:Xtalk: usable out of spec wv 577 sr 4 dir 5 value 0.036. | Xtalk: usable out of spec wv 577 sr 8 dir 5 value 0.046. | Xtalk: usable out of spec wv 577 sr 9 dir 5 value 0.041. | Xtalk: usable out of spec wv 488 sr 4 dir 5 value 0.043. | Xtalk: usable out of spec wv 488 sr 8 dir 5 value 0.038. | Xtalk: usable out of spec wv 488 sr 9 dir 5 value 0.036.;NumberDecSaturated:0;NumberEmpties:63997;NumberFlagged_DeadPixels:75.0000;NumberFlagged_Debris:13262.0000;NumberFlagged_MissingNeighbor:4282.0000;NumberFlagged_NeighborSaturated:06.0000;NumberFlagged_OutOfBounds:4124.0000;NumberFlagged_SaturatedPixelResorufinTwo:01.0000;NumberInvalidWells:19046;NumberPositiveEmpties:48;NumberPositives:11119;NumberResSaturated:1;NumberSaturatedWithoutDebris:1;NumberValidUnclassified:51648.00;NumberValidWells:173003;OddlyAggregatedFlag:2;OddlyAggregatedLocations:;OddlyAggregatedWorst:0;OffsetW488:( 0, 0 );OffsetW577:( 0, 0 );OffsetW647:( 0, 0 );OffsetW700:( 0, 0 );OffsetW750:( 0, 0 );ResorufinUnsaturated:1;ResorufinUnsaturatedMutated:0;ResorufinUnsaturatedSuspiciousF1:0;ResorufinUnsaturaterNumberInFit:303;SaturatedDecodingWells:0;SuspiciousWells:20430;SuspiciousWellsFlagged:1;SuspiciousWellsLowerThreshold:7;Warnings:;WhiteLightChannelMedian:10103;XtalkSubregionsOutOfSpec:0</t>
  </si>
  <si>
    <t>0002_DecodingIntensityStdDev_577F1:62.470;0002_DecodingIntensityStdDev_577F2:159.417;0002_MeanDecodingIntensity_577F1:430.96;0002_MeanDecodingIntensity_577F2:464.59;0002AEB:00.1638;0002DecodingIntensityStdDev:360.416;0002DecodingIntensityStdDev_488:360.416;0002DecodingIntensityStdDev_647:5.238;0002DecodingIntensityStdDev_700:5.330;0002DecodingIntensityStdDev_750:6.633;0002F_on:0.1511;0002FillPercent:016.91;0002KineticInconsistentLower:0;0002KineticInconsistentMetadata:-739.17051385417|2.88;0002MeanDecodingIntensity:1521.95;0002MeanDecodingIntensity_488:1521.95;0002MeanDecodingIntensity_647:34.93;0002MeanDecodingIntensity_700:30.51;0002MeanDecodingIntensity_750:35.49;0002ReflectiveIntensity:13272.35;0002ReflectiveIntensityStdDev:614.391;0002SealTimeEstimate:14.4;0021_DecodingIntensityStdDev_577F1:51.539;0021_DecodingIntensityStdDev_577F2:129.610;0021_MeanDecodingIntensity_577F1:414.91;0021_MeanDecodingIntensity_577F2:429.75;0021AEB:00.0540;0021DecodingIntensityStdDev:86.515;0021DecodingIntensityStdDev_488:25.400;0021DecodingIntensityStdDev_647:86.515;0021DecodingIntensityStdDev_700:10.555;0021DecodingIntensityStdDev_750:7.188;0021F_on:0.0526;0021FillPercent:009.91;0021KineticInconsistentLower:0;0021KineticInconsistentMetadata:-846.776582744732|3.12;0021MeanDecodingIntensity:401.47;0021MeanDecodingIntensity_488:141.86;0021MeanDecodingIntensity_647:401.47;0021MeanDecodingIntensity_700:66.46;0021MeanDecodingIntensity_750:35.82;0021ReflectiveIntensity:13054.40;0021ReflectiveIntensityStdDev:521.148;0021SealTimeEstimate:12.7;0201_DecodingIntensityStdDev_577F1:53.995;0201_DecodingIntensityStdDev_577F2:133.268;0201_MeanDecodingIntensity_577F1:417.05;0201_MeanDecodingIntensity_577F2:433.12;0201AEB:00.0600;0201DecodingIntensityStdDev:138.789;0201DecodingIntensityStdDev_488:36.235;0201DecodingIntensityStdDev_647:37.475;0201DecodingIntensityStdDev_700:138.789;0201DecodingIntensityStdDev_750:14.420;0201F_on:0.0583;0201FillPercent:011.94;0201KineticInconsistentLower:0;0201KineticInconsistentMetadata:-802.652669347531|3.02;0201MeanDecodingIntensity:479.03;0201MeanDecodingIntensity_488:146.95;0201MeanDecodingIntensity_647:101.65;0201MeanDecodingIntensity_700:479.03;0201MeanDecodingIntensity_750:64.71;0201ReflectiveIntensity:13161.30;0201ReflectiveIntensityStdDev:614.626;0201SealTimeEstimate:13.4;2001_DecodingIntensityStdDev_577F1:61.336;2001_DecodingIntensityStdDev_577F2:150.368;2001_MeanDecodingIntensity_577F1:444.67;2001_MeanDecodingIntensity_577F2:461.94;2001AEB:00.0609;2001DecodingIntensityStdDev:258.231;2001DecodingIntensityStdDev_488:45.692;2001DecodingIntensityStdDev_647:8.053;2001DecodingIntensityStdDev_700:7.258;2001DecodingIntensityStdDev_750:258.231;2001F_on:0.0591;2001FillPercent:011.16;2001KineticInconsistentLower:0;2001KineticInconsistentMetadata:-827.630724448143|2.97;2001MeanDecodingIntensity:899.43;2001MeanDecodingIntensity_488:147.62;2001MeanDecodingIntensity_647:38.43;2001MeanDecodingIntensity_700:34.79;2001MeanDecodingIntensity_750:899.43;2001ReflectiveIntensity:13129.28;2001ReflectiveIntensityStdDev:581.006;2001SealTimeEstimate:13.7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12.71;Empties488F1MeanIntensity:68.41;Empties577F1IntensityStdDev:22.00;Empties577F1MeanIntensity:379.38;Empties577F2IntensityStdDev:32.99;Empties577F2MeanIntensity:375.32;Empties647F1IntensityStdDev:4.54;Empties647F1MeanIntensity:31.33;Empties700F1IntensityStdDev:4.61;Empties700F1MeanIntensity:29.50;Empties750F1IntensityStdDev:5.51;Empties750F1MeanIntensity:33.90;EmptiesIGrowth:336.74;EmptiesReflectiveIntensityStdDev:354.26;EmptiesReflectiveMeanIntensity:11918.50;Errors:;F2minusF1Shift:1.0;FluorescenceClassification:Normal;Focus_FracImageLost:0.01;FocusScoresAvg:3.43;FocusScoresImageCenter:4.83;FocusScoresMax:5.29;FocusScoresMedian:3.54;FractionImageDebris:0.0790;FractionWellsDebris:0.0813;ImageQualityScoreIfUnpegged:0.60;IndexingWellsMissingFromFov:0;IndexingWellsTotalLostBothVisibleAndMissing:0;IndexingWellsVisibleInFovButRemoved:0;L1DR time (ms):27570;NetBeadFillRate:35.02;NormalizedFillPercentage:049.92;Notes:Xtalk: usable out of spec wv 577 sr 0 dir 5 value 0.043. | Xtalk: usable out of spec wv 577 sr 9 dir 5 value 0.043. | Xtalk: usable out of spec wv 700 sr 4 dir 5 value 0.041. | Xtalk: usable out of spec wv 647 sr 4 dir 5 value 0.036. | Xtalk: usable out of spec wv 700 sr 8 dir 5 value 0.048. | Xtalk: usable out of spec wv 647 sr 8 dir 5 value 0.036. | Xtalk: usable out of spec wv 488 sr 4 dir 5 value 0.043. | Xtalk: usable out of spec wv 488 sr 8 dir 5 value 0.038.;NumberDecSaturated:1;NumberEmpties:51899;NumberFlagged_DeadPixels:78.0000;NumberFlagged_Debris:15563.0000;NumberFlagged_MissingNeighbor:5831.0000;NumberFlagged_NeighborSaturated:18.0000;NumberFlagged_OddlyRecurrentClassification:13394.0000;NumberFlagged_OutOfBounds:4127.0000;NumberFlagged_OutOfFocus:1616.0000;NumberFlagged_OutOfSpecXtalk:15981.0000;NumberFlagged_SaturatedPixelDecodingFour:01.0000;NumberFlagged_SaturatedPixelResorufinTwo:02.0000;NumberInvalidWells:43671;NumberPositiveEmpties:95;NumberPositives:10674;NumberResSaturated:2;NumberSaturatedWithoutDebris:2;NumberValidUnclassified:44090.00;NumberValidWells:147723;OddlyAggregatedFlag:2;OddlyAggregatedLocations:;OddlyAggregatedWorst:0;OffsetW488:( 1, 0 );OffsetW577:( 0, 0 );OffsetW647:( 0, 0 );OffsetW700:( 0, 0 );OffsetW750:( 0, -1 );ResorufinUnsaturated:0;ResorufinUnsaturatedMutated:0;ResorufinUnsaturaterNumberInFit:89;SaturatedDecodingWells:1;SuspiciousWells:28605;SuspiciousWellsFlagged:1;SuspiciousWellsLowerThreshold:5;Warnings:Xtalk: unusable out of spec wv 577 sr 4 dir 5 value 0.050.;WhiteLightChannelMedian:9962;XtalkSubregionsOutOfSpec:1</t>
  </si>
  <si>
    <t>spikein-1-2-2</t>
  </si>
  <si>
    <t>Plate 2 - Well B3</t>
  </si>
  <si>
    <t>0002_DecodingIntensityStdDev_577F1:73.366;0002_DecodingIntensityStdDev_577F2:175.246;0002_MeanDecodingIntensity_577F1:433.02;0002_MeanDecodingIntensity_577F2:471.58;0002AEB:00.1784;0002DecodingIntensityStdDev:526.936;0002DecodingIntensityStdDev_488:526.936;0002DecodingIntensityStdDev_647:7.397;0002DecodingIntensityStdDev_700:7.086;0002DecodingIntensityStdDev_750:8.890;0002F_on:0.1634;0002FillPercent:009.51;0002KineticInconsistentLower:0;0002KineticInconsistentMetadata:-680.719828021849|2.76;0002MeanDecodingIntensity:1742.79;0002MeanDecodingIntensity_488:1742.79;0002MeanDecodingIntensity_647:36.44;0002MeanDecodingIntensity_700:31.60;0002MeanDecodingIntensity_750:36.71;0002ReflectiveIntensity:13839.87;0002ReflectiveIntensityStdDev:661.706;0002SealTimeEstimate:15.4;0021_DecodingIntensityStdDev_577F1:65.988;0021_DecodingIntensityStdDev_577F2:157.027;0021_MeanDecodingIntensity_577F1:416.93;0021_MeanDecodingIntensity_577F2:437.81;0021AEB:00.0745;0021DecodingIntensityStdDev:136.416;0021DecodingIntensityStdDev_488:102.846;0021DecodingIntensityStdDev_647:136.416;0021DecodingIntensityStdDev_700:26.013;0021DecodingIntensityStdDev_750:13.576;0021F_on:0.0718;0021FillPercent:006.16;0021KineticInconsistentLower:0;0021KineticInconsistentMetadata:-727.957732925139|2.87;0021MeanDecodingIntensity:448.62;0021MeanDecodingIntensity_488:177.27;0021MeanDecodingIntensity_647:448.62;0021MeanDecodingIntensity_700:74.72;0021MeanDecodingIntensity_750:38.70;0021ReflectiveIntensity:13645.61;0021ReflectiveIntensityStdDev:606.691;0021SealTimeEstimate:14.5;0201_DecodingIntensityStdDev_577F1:82.383;0201_DecodingIntensityStdDev_577F2:185.549;0201_MeanDecodingIntensity_577F1:428.97;0201_MeanDecodingIntensity_577F2:456.01;0201AEB:00.1034;0201DecodingIntensityStdDev:201.584;0201DecodingIntensityStdDev_488:319.635;0201DecodingIntensityStdDev_647:111.092;0201DecodingIntensityStdDev_700:201.584;0201DecodingIntensityStdDev_750:91.144;0201F_on:0.0982;0201FillPercent:008.82;0201KineticInconsistentLower:0;0201KineticInconsistentMetadata:-752.249239185159|2.87;0201MeanDecodingIntensity:519.90;0201MeanDecodingIntensity_488:268.89;0201MeanDecodingIntensity_647:138.87;0201MeanDecodingIntensity_700:519.90;0201MeanDecodingIntensity_750:88.68;0201ReflectiveIntensity:13931.21;0201ReflectiveIntensityStdDev:754.733;0201SealTimeEstimate:14.5;2001_DecodingIntensityStdDev_577F1:74.964;2001_DecodingIntensityStdDev_577F2:167.447;2001_MeanDecodingIntensity_577F1:450.34;2001_MeanDecodingIntensity_577F2:474.19;2001AEB:00.0891;2001DecodingIntensityStdDev:349.631;2001DecodingIntensityStdDev_488:265.237;2001DecodingIntensityStdDev_647:42.110;2001DecodingIntensityStdDev_700:25.225;2001DecodingIntensityStdDev_750:349.631;2001F_on:0.0853;2001FillPercent:007.74;2001KineticInconsistentLower:0;2001KineticInconsistentMetadata:-788.182527892148|2.86;2001MeanDecodingIntensity:947.10;2001MeanDecodingIntensity_488:243.92;2001MeanDecodingIntensity_647:49.07;2001MeanDecodingIntensity_700:40.42;2001MeanDecodingIntensity_750:947.10;2001ReflectiveIntensity:13813.85;2001ReflectiveIntensityStdDev:701.565;2001SealTimeEstimate:14.6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13.62;Empties488F1MeanIntensity:69.34;Empties577F1IntensityStdDev:38.44;Empties577F1MeanIntensity:337.30;Empties577F2IntensityStdDev:49.34;Empties577F2MeanIntensity:333.43;Empties647F1IntensityStdDev:4.41;Empties647F1MeanIntensity:32.04;Empties700F1IntensityStdDev:4.29;Empties700F1MeanIntensity:29.58;Empties750F1IntensityStdDev:5.26;Empties750F1MeanIntensity:33.86;EmptiesIGrowth:447.44;EmptiesReflectiveIntensityStdDev:447.93;EmptiesReflectiveMeanIntensity:12634.77;Errors:;F2minusF1Shift:1.2;FittedF2OverF1Intercept:-1013.26937922899;FittedF2OverF1Slope:2.46570472504837;FluorescenceClassification:Normal;Focus_FracImageLost:0.00;FocusScoresAvg:3.80;FocusScoresImageCenter:5.02;FocusScoresMax:5.45;FocusScoresMedian:3.85;FractionImageDebris:0.1468;FractionWellsDebris:0.1630;ImageQualityScoreIfUnpegged:1.00;IndexingWellsMissingFromFov:0;IndexingWellsTotalLostBothVisibleAndMissing:0;IndexingWellsVisibleInFovButRemoved:0;L1DR time (ms):27525;NetBeadFillRate:22.63;NormalizedFillPercentage:032.21;Notes:Xtalk: usable out of spec wv 577 sr 4 dir 5 value 0.043. | Xtalk: usable out of spec wv 577 sr 8 dir 5 value 0.043. | Xtalk: usable out of spec wv 577 sr 9 dir 5 value 0.036. | Xtalk: usable out of spec wv 700 sr 8 dir 5 value 0.036. | Xtalk: usable out of spec wv 488 sr 4 dir 5 value 0.038.;NumberDecSaturated:0;NumberEmpties:71627;NumberFlagged_DeadPixels:79.0000;NumberFlagged_Debris:31147.0000;NumberFlagged_MissingNeighbor:7775.0000;NumberFlagged_OddlyRecurrentClassification:2962.0000;NumberFlagged_OutOfBounds:4052.0000;NumberInvalidWells:40636;NumberPositiveEmpties:112;NumberPositives:10646;NumberResSaturated:0;NumberSaturatedWithoutDebris:0;NumberValidUnclassified:44762.00;NumberValidWells:150428;OddlyAggregatedFlag:2;OddlyAggregatedLocations:;OddlyAggregatedWorst:0;OffsetW488:( 1, 0 );OffsetW577:( 0, 0 );OffsetW647:( 0, 0 );OffsetW700:( 0, 0 );OffsetW750:( 0, -1 );ResorufinUnsaturated:1;ResorufinUnsaturatedMutated:1;ResorufinUnsaturatedSuspiciousF1:0;ResorufinUnsaturaterNumberInFit:201;SaturatedDecodingWells:0;SuspiciousWells:24600;SuspiciousWellsFlagged:1;SuspiciousWellsLowerThreshold:8;Warnings:;WhiteLightChannelMedian:10168;XtalkSubregionsOutOfSpec:0</t>
  </si>
  <si>
    <t>0002_DecodingIntensityStdDev_577F1:89.338;0002_DecodingIntensityStdDev_577F2:193.205;0002_MeanDecodingIntensity_577F1:428.05;0002_MeanDecodingIntensity_577F2:467.30;0002AEB:00.1771;0002DecodingIntensityStdDev:356.494;0002DecodingIntensityStdDev_488:356.494;0002DecodingIntensityStdDev_647:5.068;0002DecodingIntensityStdDev_700:4.965;0002DecodingIntensityStdDev_750:6.249;0002F_on:0.1623;0002FillPercent:013.99;0002KineticInconsistentLower:0;0002KineticInconsistentMetadata:-524.010805992002|2.37;0002MeanDecodingIntensity:1652.81;0002MeanDecodingIntensity_488:1652.81;0002MeanDecodingIntensity_647:35.59;0002MeanDecodingIntensity_700:30.64;0002MeanDecodingIntensity_750:35.44;0002ReflectiveIntensity:13545.63;0002ReflectiveIntensityStdDev:604.412;0002SealTimeEstimate:20.0;0021_DecodingIntensityStdDev_577F1:82.130;0021_DecodingIntensityStdDev_577F2:177.227;0021_MeanDecodingIntensity_577F1:409.79;0021_MeanDecodingIntensity_577F2:431.49;0021AEB:00.0710;0021DecodingIntensityStdDev:93.905;0021DecodingIntensityStdDev_488:25.504;0021DecodingIntensityStdDev_647:93.905;0021DecodingIntensityStdDev_700:11.142;0021DecodingIntensityStdDev_750:6.877;0021F_on:0.0685;0021FillPercent:007.99;0021KineticInconsistentLower:0;0021KineticInconsistentMetadata:-551.797683512009|2.43;0021MeanDecodingIntensity:452.36;0021MeanDecodingIntensity_488:154.44;0021MeanDecodingIntensity_647:452.36;0021MeanDecodingIntensity_700:72.48;0021MeanDecodingIntensity_750:35.83;0021ReflectiveIntensity:13340.31;0021ReflectiveIntensityStdDev:553.812;0021SealTimeEstimate:19.1;0201_DecodingIntensityStdDev_577F1:74.284;0201_DecodingIntensityStdDev_577F2:158.557;0201_MeanDecodingIntensity_577F1:410.07;0201_MeanDecodingIntensity_577F2:431.62;0201AEB:00.0720;0201DecodingIntensityStdDev:141.581;0201DecodingIntensityStdDev_488:38.352;0201DecodingIntensityStdDev_647:41.416;0201DecodingIntensityStdDev_700:141.581;0201DecodingIntensityStdDev_750:14.673;0201F_on:0.0695;0201FillPercent:009.75;0201KineticInconsistentLower:0;0201KineticInconsistentMetadata:-556.637033250101|2.44;0201MeanDecodingIntensity:533.55;0201MeanDecodingIntensity_488:158.86;0201MeanDecodingIntensity_647:108.13;0201MeanDecodingIntensity_700:533.55;0201MeanDecodingIntensity_750:67.78;0201ReflectiveIntensity:13447.07;0201ReflectiveIntensityStdDev:613.337;0201SealTimeEstimate:19.0;2001_DecodingIntensityStdDev_577F1:82.334;2001_DecodingIntensityStdDev_577F2:172.568;2001_MeanDecodingIntensity_577F1:443.62;2001_MeanDecodingIntensity_577F2:465.53;2001AEB:00.0750;2001DecodingIntensityStdDev:267.210;2001DecodingIntensityStdDev_488:35.627;2001DecodingIntensityStdDev_647:6.791;2001DecodingIntensityStdDev_700:6.675;2001DecodingIntensityStdDev_750:267.210;2001F_on:0.0722;2001FillPercent:008.97;2001KineticInconsistentLower:0;2001KineticInconsistentMetadata:-549.849972499573|2.34;2001MeanDecodingIntensity:1054.02;2001MeanDecodingIntensity_488:157.70;2001MeanDecodingIntensity_647:39.52;2001MeanDecodingIntensity_700:35.43;2001MeanDecodingIntensity_750:1054.02;2001ReflectiveIntensity:13406.24;2001ReflectiveIntensityStdDev:598.216;2001SealTimeEstimate:20.4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12.21;Empties488F1MeanIntensity:68.17;Empties577F1IntensityStdDev:24.23;Empties577F1MeanIntensity:359.43;Empties577F2IntensityStdDev:34.34;Empties577F2MeanIntensity:357.99;Empties647F1IntensityStdDev:4.29;Empties647F1MeanIntensity:31.55;Empties700F1IntensityStdDev:4.28;Empties700F1MeanIntensity:29.43;Empties750F1IntensityStdDev:5.15;Empties750F1MeanIntensity:33.70;EmptiesIGrowth:457.13;EmptiesReflectiveIntensityStdDev:347.29;EmptiesReflectiveMeanIntensity:12053.41;Errors:;F2minusF1Shift:-0.7;FittedF2OverF1Intercept:-590.006199213815;FittedF2OverF1Slope:2.22508688521057;FluorescenceClassification:Normal;Focus_FracImageLost:0.00;FocusScoresAvg:3.64;FocusScoresImageCenter:4.41;FocusScoresMax:4.90;FocusScoresMedian:3.71;FractionImageDebris:0.0557;FractionWellsDebris:0.0626;ImageQualityScoreIfUnpegged:1.00;IndexingWellsMissingFromFov:0;IndexingWellsTotalLostBothVisibleAndMissing:0;IndexingWellsVisibleInFovButRemoved:0;L1DR time (ms):30196;NetBeadFillRate:28.58;NormalizedFillPercentage:040.70;Notes:Xtalk: usable out of spec wv 577 sr 8 dir 5 value 0.038.;NumberDecSaturated:1;NumberEmpties:72592;NumberFlagged_DeadPixels:81.0000;NumberFlagged_Debris:12037.0000;NumberFlagged_MissingNeighbor:4023.0000;NumberFlagged_NeighborSaturated:12.0000;NumberFlagged_OutOfBounds:4173.0000;NumberFlagged_SaturatedPixelDecodingFour:01.0000;NumberFlagged_SaturatedPixelResorufinTwo:01.0000;NumberFlagged_SaturationRemoverSuspiciousF1:01.0000;NumberInvalidWells:17882;NumberPositiveEmpties:55;NumberPositives:10839;NumberResSaturated:1;NumberSaturatedWithoutDebris:2;NumberValidUnclassified:51948.00;NumberValidWells:174366;OddlyAggregatedFlag:2;OddlyAggregatedLocations:;OddlyAggregatedWorst:0;OffsetW488:( 0, 0 );OffsetW577:( 0, 0 );OffsetW647:( 0, 0 );OffsetW700:( 0, 0 );OffsetW750:( 0, -1 );ResorufinUnsaturated:1;ResorufinUnsaturatedMutated:0;ResorufinUnsaturatedSuspiciousF1:1;ResorufinUnsaturaterNumberInFit:313;SaturatedDecodingWells:2;SuspiciousWells:25285;SuspiciousWellsFlagged:1;SuspiciousWellsLowerThreshold:6;Warnings:;WhiteLightChannelMedian:9960;XtalkSubregionsOutOfSpec:0</t>
  </si>
  <si>
    <t>0002_DecodingIntensityStdDev_577F1:92.314;0002_DecodingIntensityStdDev_577F2:198.895;0002_MeanDecodingIntensity_577F1:425.37;0002_MeanDecodingIntensity_577F2:464.33;0002AEB:00.1717;0002DecodingIntensityStdDev:366.858;0002DecodingIntensityStdDev_488:366.858;0002DecodingIntensityStdDev_647:4.983;0002DecodingIntensityStdDev_700:4.874;0002DecodingIntensityStdDev_750:6.070;0002F_on:0.1578;0002FillPercent:013.05;0002KineticInconsistentLower:0;0002KineticInconsistentMetadata:-498.722670361075|2.34;0002MeanDecodingIntensity:1721.05;0002MeanDecodingIntensity_488:1721.05;0002MeanDecodingIntensity_647:35.56;0002MeanDecodingIntensity_700:30.54;0002MeanDecodingIntensity_750:35.36;0002ReflectiveIntensity:13898.41;0002ReflectiveIntensityStdDev:605.176;0002SealTimeEstimate:20.4;0021_DecodingIntensityStdDev_577F1:84.274;0021_DecodingIntensityStdDev_577F2:181.172;0021_MeanDecodingIntensity_577F1:406.75;0021_MeanDecodingIntensity_577F2:428.87;0021AEB:00.0688;0021DecodingIntensityStdDev:88.313;0021DecodingIntensityStdDev_488:25.621;0021DecodingIntensityStdDev_647:88.313;0021DecodingIntensityStdDev_700:10.393;0021DecodingIntensityStdDev_750:6.633;0021F_on:0.0665;0021FillPercent:007.63;0021KineticInconsistentLower:0;0021KineticInconsistentMetadata:-527.730266741915|2.41;0021MeanDecodingIntensity:446.80;0021MeanDecodingIntensity_488:152.46;0021MeanDecodingIntensity_647:446.80;0021MeanDecodingIntensity_700:71.67;0021MeanDecodingIntensity_750:35.65;0021ReflectiveIntensity:13680.98;0021ReflectiveIntensityStdDev:556.957;0021SealTimeEstimate:19.4;0201_DecodingIntensityStdDev_577F1:75.133;0201_DecodingIntensityStdDev_577F2:157.759;0201_MeanDecodingIntensity_577F1:406.32;0201_MeanDecodingIntensity_577F2:426.80;0201AEB:00.0673;0201DecodingIntensityStdDev:128.491;0201DecodingIntensityStdDev_488:31.166;0201DecodingIntensityStdDev_647:28.295;0201DecodingIntensityStdDev_700:128.491;0201DecodingIntensityStdDev_750:12.145;0201F_on:0.0650;0201FillPercent:008.93;0201KineticInconsistentLower:0;0201KineticInconsistentMetadata:-504.824328589882|2.36;0201MeanDecodingIntensity:530.41;0201MeanDecodingIntensity_488:155.26;0201MeanDecodingIntensity_647:105.50;0201MeanDecodingIntensity_700:530.41;0201MeanDecodingIntensity_750:67.79;0201ReflectiveIntensity:13752.72;0201ReflectiveIntensityStdDev:588.392;0201SealTimeEstimate:20.1;2001_DecodingIntensityStdDev_577F1:81.273;2001_DecodingIntensityStdDev_577F2:171.723;2001_MeanDecodingIntensity_577F1:439.31;2001_MeanDecodingIntensity_577F2:462.24;2001AEB:00.0713;2001DecodingIntensityStdDev:241.693;2001DecodingIntensityStdDev_488:28.581;2001DecodingIntensityStdDev_647:5.714;2001DecodingIntensityStdDev_700:6.167;2001DecodingIntensityStdDev_750:241.693;2001F_on:0.0688;2001FillPercent:008.60;2001KineticInconsistentLower:0;2001KineticInconsistentMetadata:-559.170743501811|2.38;2001MeanDecodingIntensity:1001.42;2001MeanDecodingIntensity_488:154.21;2001MeanDecodingIntensity_647:38.97;2001MeanDecodingIntensity_700:35.20;2001MeanDecodingIntensity_750:1001.42;2001ReflectiveIntensity:13730.13;2001ReflectiveIntensityStdDev:578.664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13.56;Empties488F1MeanIntensity:70.79;Empties577F1IntensityStdDev:35.06;Empties577F1MeanIntensity:346.02;Empties577F2IntensityStdDev:46.36;Empties577F2MeanIntensity:345.82;Empties647F1IntensityStdDev:4.62;Empties647F1MeanIntensity:32.06;Empties700F1IntensityStdDev:4.62;Empties700F1MeanIntensity:29.88;Empties750F1IntensityStdDev:5.57;Empties750F1MeanIntensity:34.28;EmptiesIGrowth:542.91;EmptiesReflectiveIntensityStdDev:429.88;EmptiesReflectiveMeanIntensity:12416.77;Errors:;F2minusF1Shift:-0.2;FittedF2OverF1Intercept:-512.190819299471;FittedF2OverF1Slope:2.1720846063172;FluorescenceClassification:Normal;Focus_FracImageLost:0.00;FocusScoresAvg:3.90;FocusScoresImageCenter:4.90;FocusScoresMax:5.58;FocusScoresMedian:3.79;FractionImageDebris:0.0522;FractionWellsDebris:0.0628;ImageQualityScoreIfUnpegged:1.00;IndexingWellsMissingFromFov:0;IndexingWellsTotalLostBothVisibleAndMissing:0;IndexingWellsVisibleInFovButRemoved:0;L1DR time (ms):29912;NetBeadFillRate:26.82;NormalizedFillPercentage:038.20;Notes:Xtalk: usable out of spec wv 577 sr 9 dir 4 value 0.036. | Xtalk: usable out of spec wv 577 sr 10 dir 4 value 0.036. | Xtalk: usable out of spec wv 488 sr 9 dir 4 value 0.036.;NumberDecSaturated:0;NumberEmpties:75904;NumberFlagged_DeadPixels:73.0000;NumberFlagged_Debris:12074.0000;NumberFlagged_MissingNeighbor:3366.0000;NumberFlagged_NeighborSaturated:24.0000;NumberFlagged_OutOfBounds:4094.0000;NumberFlagged_SaturatedPixelResorufinTwo:04.0000;NumberFlagged_SaturationRemoverSuspiciousF1:03.0000;NumberInvalidWells:17428;NumberPositiveEmpties:73;NumberPositives:9289;NumberResSaturated:4;NumberSaturatedWithoutDebris:3;NumberValidUnclassified:52111.00;NumberValidWells:174930;OddlyAggregatedFlag:2;OddlyAggregatedLocations:;OddlyAggregatedWorst:0;OffsetW488:( 0, 0 );OffsetW577:( 0, 0 );OffsetW647:( 0, 0 );OffsetW700:( 0, 0 );OffsetW750:( 0, -1 );ResorufinUnsaturated:1;ResorufinUnsaturatedMutated:0;ResorufinUnsaturatedSuspiciousF1:3;ResorufinUnsaturaterNumberInFit:319;SaturatedDecodingWells:1;SuspiciousWells:26828;SuspiciousWellsFlagged:1;SuspiciousWellsLowerThreshold:6;Warnings:;WhiteLightChannelMedian:10079;XtalkSubregionsOutOfSpec:0</t>
  </si>
  <si>
    <t>spikein-1-2-3</t>
  </si>
  <si>
    <t>Plate 2 - Well C3</t>
  </si>
  <si>
    <t>0002_DecodingIntensityStdDev_577F1:82.806;0002_DecodingIntensityStdDev_577F2:178.265;0002_MeanDecodingIntensity_577F1:421.18;0002_MeanDecodingIntensity_577F2:457.75;0002AEB:00.1790;0002DecodingIntensityStdDev:344.464;0002DecodingIntensityStdDev_488:344.464;0002DecodingIntensityStdDev_647:5.332;0002DecodingIntensityStdDev_700:5.612;0002DecodingIntensityStdDev_750:6.607;0002F_on:0.1639;0002FillPercent:014.70;0002KineticInconsistentLower:0;0002KineticInconsistentMetadata:-524.806999899516|2.38;0002MeanDecodingIntensity:1581.84;0002MeanDecodingIntensity_488:1581.84;0002MeanDecodingIntensity_647:35.47;0002MeanDecodingIntensity_700:30.56;0002MeanDecodingIntensity_750:35.66;0002ReflectiveIntensity:13293.92;0002ReflectiveIntensityStdDev:619.421;0002SealTimeEstimate:19.8;0021_DecodingIntensityStdDev_577F1:57.201;0021_DecodingIntensityStdDev_577F2:120.981;0021_MeanDecodingIntensity_577F1:396.99;0021_MeanDecodingIntensity_577F2:409.55;0021AEB:00.0430;0021DecodingIntensityStdDev:85.839;0021DecodingIntensityStdDev_488:25.519;0021DecodingIntensityStdDev_647:85.839;0021DecodingIntensityStdDev_700:10.342;0021DecodingIntensityStdDev_750:7.004;0021F_on:0.0421;0021FillPercent:008.81;0021KineticInconsistentLower:0;0021KineticInconsistentMetadata:-529.094740947715|2.4;0021MeanDecodingIntensity:430.41;0021MeanDecodingIntensity_488:149.51;0021MeanDecodingIntensity_647:430.41;0021MeanDecodingIntensity_700:70.04;0021MeanDecodingIntensity_750:35.84;0021ReflectiveIntensity:13076.30;0021ReflectiveIntensityStdDev:546.890;0021SealTimeEstimate:19.5;0201_DecodingIntensityStdDev_577F1:58.019;0201_DecodingIntensityStdDev_577F2:122.130;0201_MeanDecodingIntensity_577F1:396.33;0201_MeanDecodingIntensity_577F2:409.31;0201AEB:00.0456;0201DecodingIntensityStdDev:115.370;0201DecodingIntensityStdDev_488:31.362;0201DecodingIntensityStdDev_647:23.317;0201DecodingIntensityStdDev_700:115.370;0201DecodingIntensityStdDev_750:12.335;0201F_on:0.0445;0201FillPercent:010.40;0201KineticInconsistentLower:0;0201KineticInconsistentMetadata:-526.192820826289|2.4;0201MeanDecodingIntensity:506.39;0201MeanDecodingIntensity_488:152.69;0201MeanDecodingIntensity_647:101.74;0201MeanDecodingIntensity_700:506.39;0201MeanDecodingIntensity_750:67.24;0201ReflectiveIntensity:13130.87;0201ReflectiveIntensityStdDev:577.786;0201SealTimeEstimate:19.5;2001_DecodingIntensityStdDev_577F1:62.543;2001_DecodingIntensityStdDev_577F2:130.601;2001_MeanDecodingIntensity_577F1:430.21;2001_MeanDecodingIntensity_577F2:445.09;2001AEB:00.0507;2001DecodingIntensityStdDev:245.878;2001DecodingIntensityStdDev_488:34.521;2001DecodingIntensityStdDev_647:6.528;2001DecodingIntensityStdDev_700:6.205;2001DecodingIntensityStdDev_750:245.878;2001F_on:0.0494;2001FillPercent:009.87;2001KineticInconsistentLower:0;2001KineticInconsistentMetadata:-572.600437803184|2.4;2001MeanDecodingIntensity:1009.84;2001MeanDecodingIntensity_488:152.83;2001MeanDecodingIntensity_647:38.96;2001MeanDecodingIntensity_700:34.98;2001MeanDecodingIntensity_750:1009.84;2001ReflectiveIntensity:13119.88;2001ReflectiveIntensityStdDev:582.959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13.17;Empties488F1MeanIntensity:69.65;Empties577F1IntensityStdDev:22.67;Empties577F1MeanIntensity:356.25;Empties577F2IntensityStdDev:30.76;Empties577F2MeanIntensity:354.31;Empties647F1IntensityStdDev:4.68;Empties647F1MeanIntensity:31.78;Empties700F1IntensityStdDev:4.59;Empties700F1MeanIntensity:29.48;Empties750F1IntensityStdDev:5.73;Empties750F1MeanIntensity:34.15;EmptiesIGrowth:441.94;EmptiesReflectiveIntensityStdDev:386.53;EmptiesReflectiveMeanIntensity:11858.73;Errors:;F2minusF1Shift:0.1;FluorescenceClassification:Normal;Focus_FracImageLost:0.00;FocusScoresAvg:3.65;FocusScoresImageCenter:4.58;FocusScoresMax:5.40;FocusScoresMedian:3.55;FractionImageDebris:0.0630;FractionWellsDebris:0.0692;ImageQualityScoreIfUnpegged:1.00;IndexingWellsMissingFromFov:0;IndexingWellsTotalLostBothVisibleAndMissing:0;IndexingWellsVisibleInFovButRemoved:0;L1DR time (ms):29449;NetBeadFillRate:30.72;NormalizedFillPercentage:043.78;Notes:Xtalk: usable out of spec wv 577 sr 8 dir 5 value 0.041. | Xtalk: usable out of spec wv 577 sr 9 dir 4 value 0.038. | Xtalk: usable out of spec wv 577 sr 10 dir 4 value 0.043. | Xtalk: usable out of spec wv 577 sr 11 dir 4 value 0.038. | Xtalk: usable out of spec wv 488 sr 9 dir 4 value 0.038. | Xtalk: usable out of spec wv 488 sr 10 dir 4 value 0.038.;NumberDecSaturated:0;NumberEmpties:68682;NumberFlagged_DeadPixels:74.0000;NumberFlagged_Debris:13310.0000;NumberFlagged_MissingNeighbor:3437.0000;NumberFlagged_OddlyRecurrentClassification:258.0000;NumberFlagged_OutOfBounds:4143.0000;NumberInvalidWells:18143;NumberPositiveEmpties:38;NumberPositives:9196;NumberResSaturated:0;NumberSaturatedWithoutDebris:0;NumberValidUnclassified:51926.00;NumberValidWells:174100;OddlyAggregatedFlag:2;OddlyAggregatedLocations:;OddlyAggregatedWorst:0;OffsetW488:( 1, 0 );OffsetW577:( 0, 0 );OffsetW647:( 0, 0 );OffsetW700:( 0, -1 );OffsetW750:( 0, -1 );ResorufinUnsaturated:0;ResorufinUnsaturatedMutated:0;ResorufinUnsaturaterNumberInFit:144;SaturatedDecodingWells:0;SuspiciousWells:27554;SuspiciousWellsFlagged:1;SuspiciousWellsLowerThreshold:5;Warnings:;WhiteLightChannelMedian:9808;XtalkSubregionsOutOfSpec:0</t>
  </si>
  <si>
    <t>0002_DecodingIntensityStdDev_577F1:88.007;0002_DecodingIntensityStdDev_577F2:190.951;0002_MeanDecodingIntensity_577F1:429.41;0002_MeanDecodingIntensity_577F2:467.69;0002AEB:00.1803;0002DecodingIntensityStdDev:346.532;0002DecodingIntensityStdDev_488:346.532;0002DecodingIntensityStdDev_647:5.121;0002DecodingIntensityStdDev_700:4.952;0002DecodingIntensityStdDev_750:6.397;0002F_on:0.1650;0002FillPercent:015.00;0002KineticInconsistentLower:0;0002KineticInconsistentMetadata:-539.777489628164|2.4;0002MeanDecodingIntensity:1609.91;0002MeanDecodingIntensity_488:1609.91;0002MeanDecodingIntensity_647:35.00;0002MeanDecodingIntensity_700:30.51;0002MeanDecodingIntensity_750:35.51;0002ReflectiveIntensity:13156.01;0002ReflectiveIntensityStdDev:629.625;0002SealTimeEstimate:19.5;0021_DecodingIntensityStdDev_577F1:66.291;0021_DecodingIntensityStdDev_577F2:140.535;0021_MeanDecodingIntensity_577F1:406.60;0021_MeanDecodingIntensity_577F2:421.83;0021AEB:00.0486;0021DecodingIntensityStdDev:83.803;0021DecodingIntensityStdDev_488:23.805;0021DecodingIntensityStdDev_647:83.803;0021DecodingIntensityStdDev_700:10.100;0021DecodingIntensityStdDev_750:6.898;0021F_on:0.0474;0021FillPercent:009.05;0021KineticInconsistentLower:0;0021KineticInconsistentMetadata:-576.465846377074|2.47;0021MeanDecodingIntensity:418.76;0021MeanDecodingIntensity_488:147.24;0021MeanDecodingIntensity_647:418.76;0021MeanDecodingIntensity_700:68.65;0021MeanDecodingIntensity_750:35.86;0021ReflectiveIntensity:12923.33;0021ReflectiveIntensityStdDev:534.586;0021SealTimeEstimate:18.6;0201_DecodingIntensityStdDev_577F1:57.742;0201_DecodingIntensityStdDev_577F2:121.506;0201_MeanDecodingIntensity_577F1:405.70;0201_MeanDecodingIntensity_577F2:419.40;0201AEB:00.0476;0201DecodingIntensityStdDev:124.127;0201DecodingIntensityStdDev_488:32.606;0201DecodingIntensityStdDev_647:31.171;0201DecodingIntensityStdDev_700:124.127;0201DecodingIntensityStdDev_750:12.374;0201F_on:0.0464;0201FillPercent:010.77;0201KineticInconsistentLower:0;0201KineticInconsistentMetadata:-576.446790884895|2.48;0201MeanDecodingIntensity:498.60;0201MeanDecodingIntensity_488:150.08;0201MeanDecodingIntensity_647:101.37;0201MeanDecodingIntensity_700:498.60;0201MeanDecodingIntensity_750:65.81;0201ReflectiveIntensity:13008.86;0201ReflectiveIntensityStdDev:601.899;0201SealTimeEstimate:18.4;2001_DecodingIntensityStdDev_577F1:73.598;2001_DecodingIntensityStdDev_577F2:150.422;2001_MeanDecodingIntensity_577F1:435.82;2001_MeanDecodingIntensity_577F2:450.11;2001AEB:00.0471;2001DecodingIntensityStdDev:237.329;2001DecodingIntensityStdDev_488:31.938;2001DecodingIntensityStdDev_647:6.312;2001DecodingIntensityStdDev_700:6.505;2001DecodingIntensityStdDev_750:237.329;2001F_on:0.0460;2001FillPercent:010.23;2001KineticInconsistentLower:0;2001KineticInconsistentMetadata:-604.020837718995|2.46;2001MeanDecodingIntensity:957.01;2001MeanDecodingIntensity_488:149.47;2001MeanDecodingIntensity_647:38.31;2001MeanDecodingIntensity_700:34.94;2001MeanDecodingIntensity_750:957.01;2001ReflectiveIntensity:12984.71;2001ReflectiveIntensityStdDev:585.923;2001SealTimeEstimate:18.7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12.39;Empties488F1MeanIntensity:70.34;Empties577F1IntensityStdDev:21.81;Empties577F1MeanIntensity:368.73;Empties577F2IntensityStdDev:27.78;Empties577F2MeanIntensity:366.49;Empties647F1IntensityStdDev:4.43;Empties647F1MeanIntensity:31.53;Empties700F1IntensityStdDev:4.41;Empties700F1MeanIntensity:29.53;Empties750F1IntensityStdDev:5.41;Empties750F1MeanIntensity:34.04;EmptiesIGrowth:346.75;EmptiesReflectiveIntensityStdDev:369.33;EmptiesReflectiveMeanIntensity:11691.52;Errors:;F2minusF1Shift:0.9;FluorescenceClassification:Normal;Focus_FracImageLost:0.00;FocusScoresAvg:3.73;FocusScoresImageCenter:4.41;FocusScoresMax:5.15;FocusScoresMedian:3.61;FractionImageDebris:0.1436;FractionWellsDebris:0.1383;ImageQualityScoreIfUnpegged:1.00;IndexingWellsMissingFromFov:936;IndexingWellsTotalLostBothVisibleAndMissing:3728;IndexingWellsVisibleInFovButRemoved:2792;L1DR time (ms):28447;NetBeadFillRate:31.62;NormalizedFillPercentage:045.06;Notes:Indexing: stripe across bottom | Xtalk: usable out of spec wv 577 sr 8 dir 5 value 0.036.;NumberDecSaturated:2;NumberEmpties:61386;NumberFlagged_DeadPixels:73.0000;NumberFlagged_Debris:26086.0000;NumberFlagged_MissingNeighbor:3312.0000;NumberFlagged_NeighborSaturated:10.0000;NumberFlagged_OddlyRecurrentClassification:1539.0000;NumberFlagged_OutOfBounds:3181.0000;NumberFlagged_SaturatedPixelDecodingFour:02.0000;NumberInvalidWells:29413;NumberPositiveEmpties:39;NumberPositives:10193;NumberResSaturated:0;NumberSaturatedWithoutDebris:0;NumberValidUnclassified:47485.00;NumberValidWells:159220;OddlyAggregatedFlag:2;OddlyAggregatedLocations:;OddlyAggregatedWorst:0;OffsetW488:( 0, 0 );OffsetW577:( 0, 0 );OffsetW647:( 0, 0 );OffsetW700:( 0, 0 );OffsetW750:( 0, -1 );ResorufinUnsaturated:0;ResorufinUnsaturatedMutated:0;ResorufinUnsaturaterNumberInFit:157;SaturatedDecodingWells:0;SuspiciousWells:18054;SuspiciousWellsFlagged:1;SuspiciousWellsLowerThreshold:6;Warnings:;WhiteLightChannelMedian:9697;XtalkSubregionsOutOfSpec:0</t>
  </si>
  <si>
    <t>0002_DecodingIntensityStdDev_577F1:65.536;0002_DecodingIntensityStdDev_577F2:162.545;0002_MeanDecodingIntensity_577F1:419.03;0002_MeanDecodingIntensity_577F2:457.61;0002AEB:00.1902;0002DecodingIntensityStdDev:387.731;0002DecodingIntensityStdDev_488:387.731;0002DecodingIntensityStdDev_647:5.596;0002DecodingIntensityStdDev_700:5.704;0002DecodingIntensityStdDev_750:7.235;0002F_on:0.1732;0002FillPercent:014.95;0002KineticInconsistentLower:0;0002KineticInconsistentMetadata:-684.764321007623|2.79;0002MeanDecodingIntensity:1634.79;0002MeanDecodingIntensity_488:1634.79;0002MeanDecodingIntensity_647:35.62;0002MeanDecodingIntensity_700:31.01;0002MeanDecodingIntensity_750:36.30;0002ReflectiveIntensity:13150.86;0002ReflectiveIntensityStdDev:669.186;0002SealTimeEstimate:15.1;0021_DecodingIntensityStdDev_577F1:50.346;0021_DecodingIntensityStdDev_577F2:121.077;0021_MeanDecodingIntensity_577F1:398.78;0021_MeanDecodingIntensity_577F2:412.97;0021AEB:00.0472;0021DecodingIntensityStdDev:98.811;0021DecodingIntensityStdDev_488:30.378;0021DecodingIntensityStdDev_647:98.811;0021DecodingIntensityStdDev_700:12.027;0021DecodingIntensityStdDev_750:8.303;0021F_on:0.0461;0021FillPercent:009.05;0021KineticInconsistentLower:0;0021KineticInconsistentMetadata:-729.003300346329|2.9;0021MeanDecodingIntensity:427.41;0021MeanDecodingIntensity_488:154.03;0021MeanDecodingIntensity_647:427.41;0021MeanDecodingIntensity_700:70.05;0021MeanDecodingIntensity_750:36.82;0021ReflectiveIntensity:12915.15;0021ReflectiveIntensityStdDev:582.193;0021SealTimeEstimate:14.2;0201_DecodingIntensityStdDev_577F1:53.843;0201_DecodingIntensityStdDev_577F2:123.994;0201_MeanDecodingIntensity_577F1:402.94;0201_MeanDecodingIntensity_577F2:419.15;0201AEB:00.0556;0201DecodingIntensityStdDev:152.438;0201DecodingIntensityStdDev_488:67.172;0201DecodingIntensityStdDev_647:68.649;0201DecodingIntensityStdDev_700:152.438;0201DecodingIntensityStdDev_750:20.286;0201F_on:0.0541;0201FillPercent:011.14;0201KineticInconsistentLower:0;0201KineticInconsistentMetadata:-682.723230336349|2.78;0201MeanDecodingIntensity:512.29;0201MeanDecodingIntensity_488:165.99;0201MeanDecodingIntensity_647:119.23;0201MeanDecodingIntensity_700:512.29;0201MeanDecodingIntensity_750:68.53;0201ReflectiveIntensity:13097.12;0201ReflectiveIntensityStdDev:703.909;0201SealTimeEstimate:15.2;2001_DecodingIntensityStdDev_577F1:54.264;2001_DecodingIntensityStdDev_577F2:122.149;2001_MeanDecodingIntensity_577F1:432.07;2001_MeanDecodingIntensity_577F2:448.19;2001AEB:00.0557;2001DecodingIntensityStdDev:290.485;2001DecodingIntensityStdDev_488:100.821;2001DecodingIntensityStdDev_647:15.716;2001DecodingIntensityStdDev_700:9.808;2001DecodingIntensityStdDev_750:290.485;2001F_on:0.0542;2001FillPercent:010.32;2001KineticInconsistentLower:0;2001KineticInconsistentMetadata:-723.787854831968|2.77;2001MeanDecodingIntensity:971.63;2001MeanDecodingIntensity_488:172.63;2001MeanDecodingIntensity_647:40.67;2001MeanDecodingIntensity_700:36.24;2001MeanDecodingIntensity_750:971.63;2001ReflectiveIntensity:13035.78;2001ReflectiveIntensityStdDev:667.346;2001SealTimeEstimate:15.3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14.28;Empties488F1MeanIntensity:72.20;Empties577F1IntensityStdDev:19.62;Empties577F1MeanIntensity:363.26;Empties577F2IntensityStdDev:32.86;Empties577F2MeanIntensity:361.72;Empties647F1IntensityStdDev:4.72;Empties647F1MeanIntensity:31.72;Empties700F1IntensityStdDev:4.77;Empties700F1MeanIntensity:29.72;Empties750F1IntensityStdDev:5.85;Empties750F1MeanIntensity:34.26;EmptiesIGrowth:463.10;EmptiesReflectiveIntensityStdDev:356.25;EmptiesReflectiveMeanIntensity:11595.49;Errors:;F2minusF1Shift:-0.9;FluorescenceClassification:Normal;Focus_FracImageLost:0.00;FocusScoresAvg:3.68;FocusScoresImageCenter:4.35;FocusScoresMax:5.02;FocusScoresMedian:3.55;FractionImageDebris:0.0780;FractionWellsDebris:0.0887;ImageQualityScoreIfUnpegged:1.00;IndexingWellsMissingFromFov:0;IndexingWellsTotalLostBothVisibleAndMissing:0;IndexingWellsVisibleInFovButRemoved:0;L1DR time (ms):29739;NetBeadFillRate:31.88;NormalizedFillPercentage:045.45;Notes:Xtalk: usable out of spec wv 577 sr 8 dir 5 value 0.041. | Xtalk: usable out of spec wv 577 sr 9 dir 5 value 0.038.;NumberDecSaturated:0;NumberEmpties:65456;NumberFlagged_DeadPixels:71.0000;NumberFlagged_Debris:17081.0000;NumberFlagged_MissingNeighbor:2649.0000;NumberFlagged_NeighborSaturated:06.0000;NumberFlagged_OutOfBounds:4178.0000;NumberFlagged_SaturatedPixelResorufinTwo:01.0000;NumberInvalidWells:21541;NumberPositiveEmpties:66;NumberPositives:10845;NumberResSaturated:1;NumberSaturatedWithoutDebris:0;NumberValidUnclassified:51063.00;NumberValidWells:171055;OddlyAggregatedFlag:2;OddlyAggregatedLocations:;OddlyAggregatedWorst:0;OffsetW488:( 0, 0 );OffsetW577:( 0, 0 );OffsetW647:( 0, 0 );OffsetW700:( 0, 0 );OffsetW750:( 0, -1 );ResorufinUnsaturated:0;ResorufinUnsaturatedMutated:0;ResorufinUnsaturaterNumberInFit:70;SaturatedDecodingWells:0;SuspiciousWells:26317;SuspiciousWellsFlagged:1;SuspiciousWellsLowerThreshold:6;Warnings:;WhiteLightChannelMedian:9782;XtalkSubregionsOutOfSpec:0</t>
  </si>
  <si>
    <t>spikein-1-2-4</t>
  </si>
  <si>
    <t>Plate 2 - Well D3</t>
  </si>
  <si>
    <t>DataReduction.L2.ConcentrationOutOfCalibrationRangeAbove</t>
  </si>
  <si>
    <t>0002_DecodingIntensityStdDev_577F1:93.768;0002_DecodingIntensityStdDev_577F2:204.600;0002_MeanDecodingIntensity_577F1:483.64;0002_MeanDecodingIntensity_577F2:593.31;0002AEB:-;0002DecodingIntensityStdDev:345.422;0002DecodingIntensityStdDev_488:345.422;0002DecodingIntensityStdDev_647:5.403;0002DecodingIntensityStdDev_700:5.327;0002DecodingIntensityStdDev_750:6.899;0002F_on:0.8052;0002FillPercent:014.40;0002KineticInconsistentLower:0;0002KineticInconsistentMetadata:-516.419736183484|2.35;0002MeanDecodingIntensity:1550.42;0002MeanDecodingIntensity_488:1550.42;0002MeanDecodingIntensity_647:35.56;0002MeanDecodingIntensity_700:30.91;0002MeanDecodingIntensity_750:35.82;0002ReflectiveIntensity:13289.89;0002ReflectiveIntensityStdDev:602.868;0002SealTimeEstimate:20.3;0021_DecodingIntensityStdDev_577F1:84.231;0021_DecodingIntensityStdDev_577F2:178.831;0021_MeanDecodingIntensity_577F1:469.41;0021_MeanDecodingIntensity_577F2:566.46;0021AEB:-;0021DecodingIntensityStdDev:92.289;0021DecodingIntensityStdDev_488:27.438;0021DecodingIntensityStdDev_647:92.289;0021DecodingIntensityStdDev_700:11.402;0021DecodingIntensityStdDev_750:7.875;0021F_on:0.8397;0021FillPercent:008.36;0021KineticInconsistentLower:0;0021KineticInconsistentMetadata:-444.296678916672|2.2;0021MeanDecodingIntensity:412.89;0021MeanDecodingIntensity_488:149.70;0021MeanDecodingIntensity_647:412.89;0021MeanDecodingIntensity_700:69.05;0021MeanDecodingIntensity_750:36.32;0021ReflectiveIntensity:13079.32;0021ReflectiveIntensityStdDev:535.807;0021SealTimeEstimate:22.9;0201_DecodingIntensityStdDev_577F1:91.650;0201_DecodingIntensityStdDev_577F2:189.855;0201_MeanDecodingIntensity_577F1:472.31;0201_MeanDecodingIntensity_577F2:570.97;0201AEB:-;0201DecodingIntensityStdDev:141.093;0201DecodingIntensityStdDev_488:40.474;0201DecodingIntensityStdDev_647:46.463;0201DecodingIntensityStdDev_700:141.093;0201DecodingIntensityStdDev_750:14.587;0201F_on:0.8435;0201FillPercent:010.36;0201KineticInconsistentLower:0;0201KineticInconsistentMetadata:-427.092074420512|2.16;0201MeanDecodingIntensity:491.50;0201MeanDecodingIntensity_488:155.01;0201MeanDecodingIntensity_647:106.43;0201MeanDecodingIntensity_700:491.50;0201MeanDecodingIntensity_750:66.62;0201ReflectiveIntensity:13204.76;0201ReflectiveIntensityStdDev:639.013;0201SealTimeEstimate:23.8;2001_DecodingIntensityStdDev_577F1:80.730;2001_DecodingIntensityStdDev_577F2:168.434;2001_MeanDecodingIntensity_577F1:499.27;2001_MeanDecodingIntensity_577F2:595.21;2001AEB:-;2001DecodingIntensityStdDev:272.040;2001DecodingIntensityStdDev_488:51.025;2001DecodingIntensityStdDev_647:9.684;2001DecodingIntensityStdDev_700:7.598;2001DecodingIntensityStdDev_750:272.040;2001F_on:0.8311;2001FillPercent:009.66;2001KineticInconsistentLower:0;2001KineticInconsistentMetadata:-438.755543402274|2.12;2001MeanDecodingIntensity:948.56;2001MeanDecodingIntensity_488:155.39;2001MeanDecodingIntensity_647:39.38;2001MeanDecodingIntensity_700:35.68;2001MeanDecodingIntensity_750:948.56;2001ReflectiveIntensity:13174.35;2001ReflectiveIntensityStdDev:598.988;2001SealTimeEstimate:24.7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14.24;Empties488F1MeanIntensity:75.60;Empties577F1IntensityStdDev:62.59;Empties577F1MeanIntensity:376.81;Empties577F2IntensityStdDev:125.26;Empties577F2MeanIntensity:380.19;Empties647F1IntensityStdDev:4.62;Empties647F1MeanIntensity:31.88;Empties700F1IntensityStdDev:4.60;Empties700F1MeanIntensity:29.77;Empties750F1IntensityStdDev:5.86;Empties750F1MeanIntensity:34.21;EmptiesIGrowth:511.89;EmptiesReflectiveIntensityStdDev:320.26;EmptiesReflectiveMeanIntensity:11768.90;Errors:;F2minusF1Shift:-1.0;FittedF2OverF1Intercept:-394.404341293704;FittedF2OverF1Slope:2.07127913026953;FluorescenceClassification:Normal;Focus_FracImageLost:0.00;FocusScoresAvg:3.59;FocusScoresImageCenter:4.47;FocusScoresMax:4.93;FocusScoresMedian:3.52;FractionImageDebris:0.1602;FractionWellsDebris:0.1762;ImageQualityScoreIfUnpegged:1.00;IndexingWellsMissingFromFov:0;IndexingWellsTotalLostBothVisibleAndMissing:0;IndexingWellsVisibleInFovButRemoved:0;L1DR time (ms):28328;NetBeadFillRate:30.02;NormalizedFillPercentage:042.78;Notes:;NumberDecSaturated:0;NumberEmpties:53684;NumberFlagged_DeadPixels:78.0000;NumberFlagged_Debris:33927.0000;NumberFlagged_MissingNeighbor:3089.0000;NumberFlagged_NeighborSaturated:36.0000;NumberFlagged_OddlyRecurrentClassification:40450.0000;NumberFlagged_OutOfBounds:4303.0000;NumberFlagged_SaturatedPixelResorufinTwo:06.0000;NumberFlagged_SaturationRemoverSuspiciousF1:06.0000;NumberInvalidWells:58827;NumberPositiveEmpties:311;NumberPositives:80682;NumberResSaturated:6;NumberSaturatedWithoutDebris:5;NumberValidUnclassified:39890.00;NumberValidWells:133706;OddlyAggregatedFlag:2;OddlyAggregatedLocations:;OddlyAggregatedWorst:0;OffsetW488:( 0, 0 );OffsetW577:( 0, 0 );OffsetW647:( 0, 0 );OffsetW700:( 0, 0 );OffsetW750:( 0, 0 );ResorufinUnsaturated:1;ResorufinUnsaturatedMutated:2;ResorufinUnsaturatedSuspiciousF1:6;ResorufinUnsaturaterNumberInFit:377;SaturatedDecodingWells:0;SuspiciousWells:26068;SuspiciousWellsFlagged:1;SuspiciousWellsLowerThreshold:6;Warnings:;WhiteLightChannelMedian:9928;XtalkSubregionsOutOfSpec:0</t>
  </si>
  <si>
    <t>0002_DecodingIntensityStdDev_577F1:114.676;0002_DecodingIntensityStdDev_577F2:239.829;0002_MeanDecodingIntensity_577F1:495.40;0002_MeanDecodingIntensity_577F2:609.34;0002AEB:-;0002DecodingIntensityStdDev:378.033;0002DecodingIntensityStdDev_488:378.033;0002DecodingIntensityStdDev_647:5.201;0002DecodingIntensityStdDev_700:5.031;0002DecodingIntensityStdDev_750:6.325;0002F_on:0.8302;0002FillPercent:014.40;0002KineticInconsistentLower:0;0002KineticInconsistentMetadata:-479.336073760498|2.25;0002MeanDecodingIntensity:1654.06;0002MeanDecodingIntensity_488:1654.06;0002MeanDecodingIntensity_647:35.47;0002MeanDecodingIntensity_700:30.72;0002MeanDecodingIntensity_750:35.60;0002ReflectiveIntensity:13237.03;0002ReflectiveIntensityStdDev:617.674;0002SealTimeEstimate:22.0;0021_DecodingIntensityStdDev_577F1:86.471;0021_DecodingIntensityStdDev_577F2:176.741;0021_MeanDecodingIntensity_577F1:478.94;0021_MeanDecodingIntensity_577F2:580.16;0021AEB:-;0021DecodingIntensityStdDev:87.989;0021DecodingIntensityStdDev_488:23.817;0021DecodingIntensityStdDev_647:87.989;0021DecodingIntensityStdDev_700:10.684;0021DecodingIntensityStdDev_750:6.606;0021F_on:0.8704;0021FillPercent:008.31;0021KineticInconsistentLower:0;0021KineticInconsistentMetadata:-428.896815165317|2.15;0021MeanDecodingIntensity:435.25;0021MeanDecodingIntensity_488:149.43;0021MeanDecodingIntensity_647:435.25;0021MeanDecodingIntensity_700:70.71;0021MeanDecodingIntensity_750:35.58;0021ReflectiveIntensity:13004.90;0021ReflectiveIntensityStdDev:513.620;0021SealTimeEstimate:24.0;0201_DecodingIntensityStdDev_577F1:97.961;0201_DecodingIntensityStdDev_577F2:200.273;0201_MeanDecodingIntensity_577F1:482.69;0201_MeanDecodingIntensity_577F2:586.64;0201AEB:-;0201DecodingIntensityStdDev:140.427;0201DecodingIntensityStdDev_488:34.188;0201DecodingIntensityStdDev_647:32.682;0201DecodingIntensityStdDev_700:140.427;0201DecodingIntensityStdDev_750:13.265;0201F_on:0.8714;0201FillPercent:010.25;0201KineticInconsistentLower:0;0201KineticInconsistentMetadata:-415.049758349649|2.12;0201MeanDecodingIntensity:520.02;0201MeanDecodingIntensity_488:154.40;0201MeanDecodingIntensity_647:103.87;0201MeanDecodingIntensity_700:520.02;0201MeanDecodingIntensity_750:66.33;0201ReflectiveIntensity:13105.17;0201ReflectiveIntensityStdDev:594.557;0201SealTimeEstimate:24.7;2001_DecodingIntensityStdDev_577F1:91.888;2001_DecodingIntensityStdDev_577F2:186.694;2001_MeanDecodingIntensity_577F1:509.85;2001_MeanDecodingIntensity_577F2:610.75;2001AEB:-;2001DecodingIntensityStdDev:250.277;2001DecodingIntensityStdDev_488:29.857;2001DecodingIntensityStdDev_647:6.251;2001DecodingIntensityStdDev_700:6.676;2001DecodingIntensityStdDev_750:250.277;2001F_on:0.8619;2001FillPercent:009.46;2001KineticInconsistentLower:0;2001KineticInconsistentMetadata:-441.928503977643|2.11;2001MeanDecodingIntensity:970.79;2001MeanDecodingIntensity_488:153.44;2001MeanDecodingIntensity_647:39.02;2001MeanDecodingIntensity_700:35.20;2001MeanDecodingIntensity_750:970.79;2001ReflectiveIntensity:13078.70;2001ReflectiveIntensityStdDev:571.677;2001SealTimeEstimate:24.9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13.28;Empties488F1MeanIntensity:75.94;Empties577F1IntensityStdDev:57.54;Empties577F1MeanIntensity:375.81;Empties577F2IntensityStdDev:109.02;Empties577F2MeanIntensity:378.05;Empties647F1IntensityStdDev:4.43;Empties647F1MeanIntensity:31.85;Empties700F1IntensityStdDev:4.43;Empties700F1MeanIntensity:29.74;Empties750F1IntensityStdDev:5.39;Empties750F1MeanIntensity:34.18;EmptiesIGrowth:526.18;EmptiesReflectiveIntensityStdDev:282.59;EmptiesReflectiveMeanIntensity:11683.23;Errors:;F2minusF1Shift:0.0;FittedF2OverF1Intercept:-346.208804435196;FittedF2OverF1Slope:1.98630632329257;FluorescenceClassification:Normal;Focus_FracImageLost:0.00;FocusScoresAvg:3.55;FocusScoresImageCenter:4.05;FocusScoresMax:4.43;FocusScoresMedian:3.52;FractionImageDebris:0.1483;FractionWellsDebris:0.1594;ImageQualityScoreIfUnpegged:1.00;IndexingWellsMissingFromFov:0;IndexingWellsTotalLostBothVisibleAndMissing:0;IndexingWellsVisibleInFovButRemoved:0;L1DR time (ms):30726;NetBeadFillRate:29.78;NormalizedFillPercentage:042.43;Notes:Xtalk: usable out of spec wv 577 sr 4 dir 5 value 0.036. | Xtalk: usable out of spec wv 577 sr 11 dir 4 value 0.036.;NumberDecSaturated:0;NumberEmpties:61792;NumberFlagged_DeadPixels:72.0000;NumberFlagged_Debris:30670.0000;NumberFlagged_MissingNeighbor:3699.0000;NumberFlagged_NeighborSaturated:42.0000;NumberFlagged_OddlyRecurrentClassification:16455.0000;NumberFlagged_OutOfBounds:4232.0000;NumberFlagged_SaturatedPixelResorufinTwo:07.0000;NumberFlagged_SaturationRemoverSuspiciousF1:05.0000;NumberInvalidWells:39515;NumberPositiveEmpties:240;NumberPositives:77038;NumberResSaturated:7;NumberSaturatedWithoutDebris:3;NumberValidUnclassified:45589.00;NumberValidWells:152917;OddlyAggregatedFlag:2;OddlyAggregatedLocations:;OddlyAggregatedWorst:0;OffsetW488:( 0, 0 );OffsetW577:( 0, 0 );OffsetW647:( 0, 0 );OffsetW700:( 0, 0 );OffsetW750:( 0, -1 );ResorufinUnsaturated:1;ResorufinUnsaturatedMutated:2;ResorufinUnsaturatedSuspiciousF1:5;ResorufinUnsaturaterNumberInFit:441;SaturatedDecodingWells:0;SuspiciousWells:23392;SuspiciousWellsFlagged:1;SuspiciousWellsLowerThreshold:6;Warnings:;WhiteLightChannelMedian:9864;XtalkSubregionsOutOfSpec:0</t>
  </si>
  <si>
    <t>0002_DecodingIntensityStdDev_577F1:89.716;0002_DecodingIntensityStdDev_577F2:199.586;0002_MeanDecodingIntensity_577F1:483.85;0002_MeanDecodingIntensity_577F2:594.67;0002AEB:-;0002DecodingIntensityStdDev:357.132;0002DecodingIntensityStdDev_488:357.132;0002DecodingIntensityStdDev_647:5.041;0002DecodingIntensityStdDev_700:4.900;0002DecodingIntensityStdDev_750:6.211;0002F_on:0.8236;0002FillPercent:013.65;0002KineticInconsistentLower:0;0002KineticInconsistentMetadata:-534.86000567228|2.39;0002MeanDecodingIntensity:1580.99;0002MeanDecodingIntensity_488:1580.99;0002MeanDecodingIntensity_647:35.30;0002MeanDecodingIntensity_700:30.49;0002MeanDecodingIntensity_750:35.26;0002ReflectiveIntensity:13162.69;0002ReflectiveIntensityStdDev:600.015;0002SealTimeEstimate:19.7;0021_DecodingIntensityStdDev_577F1:85.471;0021_DecodingIntensityStdDev_577F2:186.290;0021_MeanDecodingIntensity_577F1:470.48;0021_MeanDecodingIntensity_577F2:570.14;0021AEB:-;0021DecodingIntensityStdDev:86.088;0021DecodingIntensityStdDev_488:23.064;0021DecodingIntensityStdDev_647:86.088;0021DecodingIntensityStdDev_700:10.194;0021DecodingIntensityStdDev_750:6.753;0021F_on:0.8553;0021FillPercent:007.90;0021KineticInconsistentLower:0;0021KineticInconsistentMetadata:-470.696329691437|2.26;0021MeanDecodingIntensity:426.38;0021MeanDecodingIntensity_488:147.78;0021MeanDecodingIntensity_647:426.38;0021MeanDecodingIntensity_700:69.73;0021MeanDecodingIntensity_750:35.64;0021ReflectiveIntensity:12932.32;0021ReflectiveIntensityStdDev:499.287;0021SealTimeEstimate:21.8;0201_DecodingIntensityStdDev_577F1:75.710;0201_DecodingIntensityStdDev_577F2:163.375;0201_MeanDecodingIntensity_577F1:470.43;0201_MeanDecodingIntensity_577F2:568.83;0201AEB:-;0201DecodingIntensityStdDev:133.810;0201DecodingIntensityStdDev_488:30.220;0201DecodingIntensityStdDev_647:26.893;0201DecodingIntensityStdDev_700:133.810;0201DecodingIntensityStdDev_750:12.431;0201F_on:0.8505;0201FillPercent:009.49;0201KineticInconsistentLower:0;0201KineticInconsistentMetadata:-456.851035558972|2.23;0201MeanDecodingIntensity:506.94;0201MeanDecodingIntensity_488:151.91;0201MeanDecodingIntensity_647:100.66;0201MeanDecodingIntensity_700:506.94;0201MeanDecodingIntensity_750:65.90;0201ReflectiveIntensity:13032.48;0201ReflectiveIntensityStdDev:578.428;0201SealTimeEstimate:22.4;2001_DecodingIntensityStdDev_577F1:78.124;2001_DecodingIntensityStdDev_577F2:166.961;2001_MeanDecodingIntensity_577F1:499.70;2001_MeanDecodingIntensity_577F2:596.64;2001AEB:-;2001DecodingIntensityStdDev:252.170;2001DecodingIntensityStdDev_488:28.717;2001DecodingIntensityStdDev_647:5.928;2001DecodingIntensityStdDev_700:6.265;2001DecodingIntensityStdDev_750:252.170;2001F_on:0.8383;2001FillPercent:009.03;2001KineticInconsistentLower:0;2001KineticInconsistentMetadata:-472.426844910756|2.19;2001MeanDecodingIntensity:969.09;2001MeanDecodingIntensity_488:151.24;2001MeanDecodingIntensity_647:38.69;2001MeanDecodingIntensity_700:35.00;2001MeanDecodingIntensity_750:969.09;2001ReflectiveIntensity:13015.12;2001ReflectiveIntensityStdDev:561.702;2001SealTimeEstimate:23.1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12.24;Empties488F1MeanIntensity:74.67;Empties577F1IntensityStdDev:51.89;Empties577F1MeanIntensity:377.59;Empties577F2IntensityStdDev:104.99;Empties577F2MeanIntensity:379.11;Empties647F1IntensityStdDev:4.30;Empties647F1MeanIntensity:31.78;Empties700F1IntensityStdDev:4.26;Empties700F1MeanIntensity:29.63;Empties750F1IntensityStdDev:5.22;Empties750F1MeanIntensity:33.96;EmptiesIGrowth:467.88;EmptiesReflectiveIntensityStdDev:294.48;EmptiesReflectiveMeanIntensity:11635.83;Errors:;F2minusF1Shift:0.0;FittedF2OverF1Intercept:-507.927608022975;FittedF2OverF1Slope:2.17050405538966;FluorescenceClassification:Normal;Focus_FracImageLost:0.00;FocusScoresAvg:3.61;FocusScoresImageCenter:4.09;FocusScoresMax:4.51;FocusScoresMedian:3.59;FractionImageDebris:0.1306;FractionWellsDebris:0.1428;ImageQualityScoreIfUnpegged:1.00;IndexingWellsMissingFromFov:0;IndexingWellsTotalLostBothVisibleAndMissing:0;IndexingWellsVisibleInFovButRemoved:0;L1DR time (ms):30084;NetBeadFillRate:28.14;NormalizedFillPercentage:040.07;Notes:Xtalk: usable out of spec wv 577 sr 8 dir 5 value 0.038. | Xtalk: usable out of spec wv 577 sr 11 dir 3 value 0.036.;NumberDecSaturated:1;NumberEmpties:63441;NumberFlagged_DeadPixels:83.0000;NumberFlagged_Debris:27494.0000;NumberFlagged_MissingNeighbor:3131.0000;NumberFlagged_NeighborSaturated:60.0000;NumberFlagged_OddlyRecurrentClassification:23751.0000;NumberFlagged_OutOfBounds:4247.0000;NumberFlagged_SaturatedPixelDecodingFour:01.0000;NumberFlagged_SaturatedPixelResorufinTwo:09.0000;NumberFlagged_SaturationRemoverSuspiciousF1:08.0000;NumberInvalidWells:41853;NumberPositiveEmpties:271;NumberPositives:73899;NumberResSaturated:9;NumberSaturatedWithoutDebris:7;NumberValidUnclassified:44870.00;NumberValidWells:150720;OddlyAggregatedFlag:2;OddlyAggregatedLocations:;OddlyAggregatedWorst:0;OffsetW488:( 0, 0 );OffsetW577:( 0, 0 );OffsetW647:( 0, 0 );OffsetW700:( 0, 0 );OffsetW750:( 0, -1 );ResorufinUnsaturated:1;ResorufinUnsaturatedMutated:4;ResorufinUnsaturatedSuspiciousF1:8;ResorufinUnsaturaterNumberInFit:308;SaturatedDecodingWells:1;SuspiciousWells:21932;SuspiciousWellsFlagged:1;SuspiciousWellsLowerThreshold:6;Warnings:;WhiteLightChannelMedian:9775;XtalkSubregionsOutOfSpec:0</t>
  </si>
  <si>
    <t>spikein-1-2-5</t>
  </si>
  <si>
    <t>Plate 2 - Well E3</t>
  </si>
  <si>
    <t>DataReduction.L1.ClassificationException;DataReduction.L2.AebOutOfCalibrationRangeBelow;DataReduction.L2.InvalidL1drResultException</t>
  </si>
  <si>
    <t>0002_DecodingIntensityStdDev_577F1:122.975;0002_DecodingIntensityStdDev_577F2:250.019;0002_MeanDecodingIntensity_577F1:608.02;0002_MeanDecodingIntensity_577F2:864.16;0002AEB:-;0002DecodingIntensityStdDev:340.869;0002DecodingIntensityStdDev_488:340.869;0002DecodingIntensityStdDev_647:4.911;0002DecodingIntensityStdDev_700:4.840;0002DecodingIntensityStdDev_750:6.146;0002F_on:0.9984;0002FillPercent:014.37;0002KineticInconsistentLower:0;0002KineticInconsistentMetadata:-492.982476667428|2.28;0002MeanDecodingIntensity:1557.73;0002MeanDecodingIntensity_488:1557.73;0002MeanDecodingIntensity_647:35.31;0002MeanDecodingIntensity_700:30.35;0002MeanDecodingIntensity_750:35.14;0002ReflectiveIntensity:13172.95;0002ReflectiveIntensityStdDev:570.076;0002SealTimeEstimate:21.4;0021_DecodingIntensityStdDev_577F1:99.005;0021_DecodingIntensityStdDev_577F2:205.757;0021_MeanDecodingIntensity_577F1:623.20;0021_MeanDecodingIntensity_577F2:905.86;0021AEB:-;0021DecodingIntensityStdDev:82.841;0021DecodingIntensityStdDev_488:21.167;0021DecodingIntensityStdDev_647:82.841;0021DecodingIntensityStdDev_700:9.783;0021DecodingIntensityStdDev_750:6.303;0021F_on:0.9995;0021FillPercent:008.86;0021KineticInconsistentLower:0;0021KineticInconsistentMetadata:-493.344081294144|2.29;0021MeanDecodingIntensity:431.31;0021MeanDecodingIntensity_488:142.51;0021MeanDecodingIntensity_647:431.31;0021MeanDecodingIntensity_700:69.77;0021MeanDecodingIntensity_750:35.14;0021ReflectiveIntensity:12942.70;0021ReflectiveIntensityStdDev:478.301;0021SealTimeEstimate:21.3;0201_DecodingIntensityStdDev_577F1:108.496;0201_DecodingIntensityStdDev_577F2:222.160;0201_MeanDecodingIntensity_577F1:620.19;0201_MeanDecodingIntensity_577F2:898.92;0201AEB:-;0201DecodingIntensityStdDev:104.575;0201DecodingIntensityStdDev_488:24.268;0201DecodingIntensityStdDev_647:15.458;0201DecodingIntensityStdDev_700:104.575;0201DecodingIntensityStdDev_750:10.387;0201F_on:0.9993;0201FillPercent:009.92;0201KineticInconsistentLower:0;0201KineticInconsistentMetadata:-487.772051658875|2.28;0201MeanDecodingIntensity:503.26;0201MeanDecodingIntensity_488:144.18;0201MeanDecodingIntensity_647:100.29;0201MeanDecodingIntensity_700:503.26;0201MeanDecodingIntensity_750:64.93;0201ReflectiveIntensity:12965.50;0201ReflectiveIntensityStdDev:494.438;0201SealTimeEstimate:21.4;2001_DecodingIntensityStdDev_577F1:107.333;2001_DecodingIntensityStdDev_577F2:219.796;2001_MeanDecodingIntensity_577F1:648.51;2001_MeanDecodingIntensity_577F2:922.87;2001AEB:-;2001DecodingIntensityStdDev:220.357;2001DecodingIntensityStdDev_488:23.511;2001DecodingIntensityStdDev_647:5.311;2001DecodingIntensityStdDev_700:5.497;2001DecodingIntensityStdDev_750:220.357;2001F_on:0.9993;2001FillPercent:009.52;2001KineticInconsistentLower:0;2001KineticInconsistentMetadata:-520.811194716758|2.27;2001MeanDecodingIntensity:1000.57;2001MeanDecodingIntensity_488:144.40;2001MeanDecodingIntensity_647:38.56;2001MeanDecodingIntensity_700:34.69;2001MeanDecodingIntensity_750:1000.57;2001ReflectiveIntensity:12981.72;2001ReflectiveIntensityStdDev:516.973;2001SealTimeEstimate:21.6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12.00;Empties488F1MeanIntensity:69.99;Empties577F1IntensityStdDev:42.29;Empties577F1MeanIntensity:370.91;Empties577F2IntensityStdDev:79.33;Empties577F2MeanIntensity:376.17;Empties647F1IntensityStdDev:4.34;Empties647F1MeanIntensity:31.61;Empties700F1IntensityStdDev:4.37;Empties700F1MeanIntensity:29.51;Empties750F1IntensityStdDev:5.31;Empties750F1MeanIntensity:33.87;EmptiesIGrowth:329.85;EmptiesReflectiveIntensityStdDev:270.80;EmptiesReflectiveMeanIntensity:11689.99;Errors:;F2minusF1Shift:-5.0;FittedF2OverF1Intercept:-498.847239233158;FittedF2OverF1Slope:2.0849470753004;FluorescenceClassification:Normal;Focus_FracImageLost:0.00;FocusScoresAvg:3.58;FocusScoresImageCenter:4.45;FocusScoresMax:4.91;FocusScoresMedian:3.59;FractionImageDebris:0.2575;FractionWellsDebris:0.2793;ImageQualityScoreIfUnpegged:1.00;IndexingWellsMissingFromFov:0;IndexingWellsTotalLostBothVisibleAndMissing:0;IndexingWellsVisibleInFovButRemoved:0;L1DR time (ms):28790;NetBeadFillRate:29.94;NormalizedFillPercentage:042.66;Notes:Xtalk: usable out of spec wv 577 sr 8 dir 5 value 0.036.;NumberDecSaturated:0;NumberEmpties:51069;NumberFlagged_DeadPixels:63.0000;NumberFlagged_Debris:53755.0000;NumberFlagged_MissingNeighbor:2897.0000;NumberFlagged_NeighborSaturated:84.0000;NumberFlagged_OddlyRecurrentClassification:28876.0000;NumberFlagged_OutOfBounds:4179.0000;NumberFlagged_SaturatedPixelResorufinTwo:14.0000;NumberFlagged_SaturationRemoverSuspiciousF1:12.0000;NumberInvalidWells:65541;NumberPositiveEmpties:212;NumberPositives:89644;NumberResSaturated:14;NumberSaturatedWithoutDebris:2;NumberValidUnclassified:37860.00;NumberValidWells:126931;OddlyAggregatedFlag:2;OddlyAggregatedLocations:;OddlyAggregatedWorst:0;OffsetW488:( 1, 0 );OffsetW577:( 0, 0 );OffsetW647:( 0, 0 );OffsetW700:( 0, 0 );OffsetW750:( 0, -1 );ResorufinUnsaturated:1;ResorufinUnsaturatedMutated:2;ResorufinUnsaturatedSuspiciousF1:12;ResorufinUnsaturaterNumberInFit:1736;SaturatedDecodingWells:0;SuspiciousWells:23390;SuspiciousWellsFlagged:1;SuspiciousWellsLowerThreshold:5;Warnings:;WhiteLightChannelMedian:9760;XtalkSubregionsOutOfSpec:0</t>
  </si>
  <si>
    <t>0002_DecodingIntensityStdDev_577F1:103.849;0002_DecodingIntensityStdDev_577F2:214.095;0002_MeanDecodingIntensity_577F1:605.51;0002_MeanDecodingIntensity_577F2:857.17;0002AEB:-;0002DecodingIntensityStdDev:337.727;0002DecodingIntensityStdDev_488:337.727;0002DecodingIntensityStdDev_647:4.843;0002DecodingIntensityStdDev_700:4.699;0002DecodingIntensityStdDev_750:5.954;0002F_on:0.9975;0002FillPercent:013.14;0002KineticInconsistentLower:0;0002KineticInconsistentMetadata:-490.372175573101|2.27;0002MeanDecodingIntensity:1576.89;0002MeanDecodingIntensity_488:1576.89;0002MeanDecodingIntensity_647:35.20;0002MeanDecodingIntensity_700:30.22;0002MeanDecodingIntensity_750:34.90;0002ReflectiveIntensity:13113.43;0002ReflectiveIntensityStdDev:554.275;0002SealTimeEstimate:21.6;0021_DecodingIntensityStdDev_577F1:96.843;0021_DecodingIntensityStdDev_577F2:201.263;0021_MeanDecodingIntensity_577F1:625.05;0021_MeanDecodingIntensity_577F2:908.64;0021AEB:-;0021DecodingIntensityStdDev:82.308;0021DecodingIntensityStdDev_488:20.369;0021DecodingIntensityStdDev_647:82.308;0021DecodingIntensityStdDev_700:9.717;0021DecodingIntensityStdDev_750:6.024;0021F_on:0.9993;0021FillPercent:007.78;0021KineticInconsistentLower:0;0021KineticInconsistentMetadata:-490.03766709025|2.28;0021MeanDecodingIntensity:430.06;0021MeanDecodingIntensity_488:139.94;0021MeanDecodingIntensity_647:430.06;0021MeanDecodingIntensity_700:69.72;0021MeanDecodingIntensity_750:34.84;0021ReflectiveIntensity:12892.56;0021ReflectiveIntensityStdDev:454.762;0021SealTimeEstimate:21.4;0201_DecodingIntensityStdDev_577F1:97.585;0201_DecodingIntensityStdDev_577F2:201.067;0201_MeanDecodingIntensity_577F1:619.52;0201_MeanDecodingIntensity_577F2:895.81;0201AEB:-;0201DecodingIntensityStdDev:100.048;0201DecodingIntensityStdDev_488:23.017;0201DecodingIntensityStdDev_647:14.978;0201DecodingIntensityStdDev_700:100.048;0201DecodingIntensityStdDev_750:10.036;0201F_on:0.9996;0201FillPercent:008.73;0201KineticInconsistentLower:0;0201KineticInconsistentMetadata:-483.619872727642|2.27;0201MeanDecodingIntensity:503.81;0201MeanDecodingIntensity_488:141.77;0201MeanDecodingIntensity_647:99.58;0201MeanDecodingIntensity_700:503.81;0201MeanDecodingIntensity_750:65.31;0201ReflectiveIntensity:12913.54;0201ReflectiveIntensityStdDev:467.740;0201SealTimeEstimate:21.6;2001_DecodingIntensityStdDev_577F1:99.516;2001_DecodingIntensityStdDev_577F2:205.509;2001_MeanDecodingIntensity_577F1:647.04;2001_MeanDecodingIntensity_577F2:919.19;2001AEB:-;2001DecodingIntensityStdDev:214.303;2001DecodingIntensityStdDev_488:21.912;2001DecodingIntensityStdDev_647:5.281;2001DecodingIntensityStdDev_700:5.388;2001DecodingIntensityStdDev_750:214.303;2001F_on:0.9991;2001FillPercent:008.32;2001KineticInconsistentLower:0;2001KineticInconsistentMetadata:-527.761588172433|2.28;2001MeanDecodingIntensity:1007.41;2001MeanDecodingIntensity_488:141.16;2001MeanDecodingIntensity_647:38.51;2001MeanDecodingIntensity_700:34.40;2001MeanDecodingIntensity_750:1007.41;2001ReflectiveIntensity:12925.95;2001ReflectiveIntensityStdDev:493.809;2001SealTimeEstimate:21.4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10.71;Empties488F1MeanIntensity:66.65;Empties577F1IntensityStdDev:18.26;Empties577F1MeanIntensity:369.83;Empties577F2IntensityStdDev:26.06;Empties577F2MeanIntensity:372.54;Empties647F1IntensityStdDev:4.26;Empties647F1MeanIntensity:31.65;Empties700F1IntensityStdDev:4.22;Empties700F1MeanIntensity:29.41;Empties750F1IntensityStdDev:5.02;Empties750F1MeanIntensity:33.65;EmptiesIGrowth:135.08;EmptiesReflectiveIntensityStdDev:250.40;EmptiesReflectiveMeanIntensity:11667.64;Errors:;F2minusF1Shift:-2.0;FittedF2OverF1Intercept:-415.053302257734;FittedF2OverF1Slope:2.00329317361457;FluorescenceClassification:Normal;Focus_FracImageLost:0.00;FocusScoresAvg:3.52;FocusScoresImageCenter:4.54;FocusScoresMax:4.68;FocusScoresMedian:3.47;FractionImageDebris:0.1795;FractionWellsDebris:0.1975;ImageQualityScoreIfUnpegged:1.00;IndexingWellsMissingFromFov:0;IndexingWellsTotalLostBothVisibleAndMissing:0;IndexingWellsVisibleInFovButRemoved:0;L1DR time (ms):30036;NetBeadFillRate:26.66;NormalizedFillPercentage:037.97;Notes:;NumberDecSaturated:0;NumberEmpties:63793;NumberFlagged_DeadPixels:76.0000;NumberFlagged_Debris:38019.0000;NumberFlagged_MissingNeighbor:2914.0000;NumberFlagged_OddlyRecurrentClassification:15203.0000;NumberFlagged_OutOfBounds:4113.0000;NumberInvalidWells:45984;NumberPositiveEmpties:164;NumberPositives:79527;NumberResSaturated:0;NumberSaturatedWithoutDebris:0;NumberValidUnclassified:43633.00;NumberValidWells:146474;OddlyAggregatedFlag:2;OddlyAggregatedLocations:;OddlyAggregatedWorst:0;OffsetW488:( 0, 0 );OffsetW577:( 0, 0 );OffsetW647:( 0, 0 );OffsetW700:( 0, 0 );OffsetW750:( 0, -1 );ResorufinUnsaturated:1;ResorufinUnsaturatedMutated:0;ResorufinUnsaturatedSuspiciousF1:0;ResorufinUnsaturaterNumberInFit:1647;SaturatedDecodingWells:1;SuspiciousWells:25571;SuspiciousWellsFlagged:1;SuspiciousWellsLowerThreshold:4;Warnings:;WhiteLightChannelMedian:9659;XtalkSubregionsOutOfSpec:0</t>
  </si>
  <si>
    <t>spikein-1-2-6</t>
  </si>
  <si>
    <t>Plate 2 - Well F3</t>
  </si>
  <si>
    <t>0002_DecodingIntensityStdDev_577F1:88.888;0002_DecodingIntensityStdDev_577F2:186.157;0002_MeanDecodingIntensity_577F1:503.71;0002_MeanDecodingIntensity_577F2:633.38;0002AEB:-;0002DecodingIntensityStdDev:362.502;0002DecodingIntensityStdDev_488:362.502;0002DecodingIntensityStdDev_647:4.771;0002DecodingIntensityStdDev_700:4.611;0002DecodingIntensityStdDev_750:5.806;0002F_on:0.8982;0002FillPercent:014.41;0002KineticInconsistentLower:0;0002KineticInconsistentMetadata:-473.883560034619|2.25;0002MeanDecodingIntensity:1662.36;0002MeanDecodingIntensity_488:1662.36;0002MeanDecodingIntensity_647:35.12;0002MeanDecodingIntensity_700:30.14;0002MeanDecodingIntensity_750:35.12;0002ReflectiveIntensity:13348.52;0002ReflectiveIntensityStdDev:587.267;0002SealTimeEstimate:22.0;0021_DecodingIntensityStdDev_577F1:83.847;0021_DecodingIntensityStdDev_577F2:174.287;0021_MeanDecodingIntensity_577F1:490.89;0021_MeanDecodingIntensity_577F2:612.11;0021AEB:-;0021DecodingIntensityStdDev:84.659;0021DecodingIntensityStdDev_488:22.822;0021DecodingIntensityStdDev_647:84.659;0021DecodingIntensityStdDev_700:9.770;0021DecodingIntensityStdDev_750:6.016;0021F_on:0.9199;0021FillPercent:008.75;0021KineticInconsistentLower:0;0021KineticInconsistentMetadata:-439.956537592544|2.19;0021MeanDecodingIntensity:442.55;0021MeanDecodingIntensity_488:142.40;0021MeanDecodingIntensity_647:442.55;0021MeanDecodingIntensity_700:70.50;0021MeanDecodingIntensity_750:34.93;0021ReflectiveIntensity:13077.70;0021ReflectiveIntensityStdDev:482.835;0021SealTimeEstimate:23.1;0201_DecodingIntensityStdDev_577F1:84.075;0201_DecodingIntensityStdDev_577F2:174.254;0201_MeanDecodingIntensity_577F1:489.11;0201_MeanDecodingIntensity_577F2:608.14;0201AEB:-;0201DecodingIntensityStdDev:106.977;0201DecodingIntensityStdDev_488:23.268;0201DecodingIntensityStdDev_647:15.467;0201DecodingIntensityStdDev_700:106.977;0201DecodingIntensityStdDev_750:9.855;0201F_on:0.9185;0201FillPercent:009.79;0201KineticInconsistentLower:0;0201KineticInconsistentMetadata:-430.076441686787|2.17;0201MeanDecodingIntensity:519.55;0201MeanDecodingIntensity_488:144.17;0201MeanDecodingIntensity_647:100.61;0201MeanDecodingIntensity_700:519.55;0201MeanDecodingIntensity_750:65.53;0201ReflectiveIntensity:13110.75;0201ReflectiveIntensityStdDev:492.300;0201SealTimeEstimate:23.6;2001_DecodingIntensityStdDev_577F1:74.721;2001_DecodingIntensityStdDev_577F2:151.991;2001_MeanDecodingIntensity_577F1:519.03;2001_MeanDecodingIntensity_577F2:636.47;2001AEB:-;2001DecodingIntensityStdDev:209.520;2001DecodingIntensityStdDev_488:22.874;2001DecodingIntensityStdDev_647:5.238;2001DecodingIntensityStdDev_700:5.434;2001DecodingIntensityStdDev_750:209.520;2001F_on:0.9171;2001FillPercent:009.33;2001KineticInconsistentLower:0;2001KineticInconsistentMetadata:-449.750034615414|2.14;2001MeanDecodingIntensity:992.98;2001MeanDecodingIntensity_488:143.71;2001MeanDecodingIntensity_647:38.39;2001MeanDecodingIntensity_700:34.44;2001MeanDecodingIntensity_750:992.98;2001ReflectiveIntensity:13121.84;2001ReflectiveIntensityStdDev:520.990;2001SealTimeEstimate:24.2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11.29;Empties488F1MeanIntensity:69.80;Empties577F1IntensityStdDev:40.79;Empties577F1MeanIntensity:370.69;Empties577F2IntensityStdDev:74.15;Empties577F2MeanIntensity:373.93;Empties647F1IntensityStdDev:4.21;Empties647F1MeanIntensity:31.55;Empties700F1IntensityStdDev:4.16;Empties700F1MeanIntensity:29.39;Empties750F1IntensityStdDev:4.98;Empties750F1MeanIntensity:33.74;EmptiesIGrowth:324.32;EmptiesReflectiveIntensityStdDev:284.73;EmptiesReflectiveMeanIntensity:11815.06;Errors:;F2minusF1Shift:-3.0;FittedF2OverF1Intercept:-392.280290018059;FittedF2OverF1Slope:2.07362140624439;FluorescenceClassification:Normal;Focus_FracImageLost:0.00;FocusScoresAvg:3.65;FocusScoresImageCenter:4.50;FocusScoresMax:4.71;FocusScoresMedian:3.64;FractionImageDebris:0.0901;FractionWellsDebris:0.1045;ImageQualityScoreIfUnpegged:1.00;IndexingWellsMissingFromFov:0;IndexingWellsTotalLostBothVisibleAndMissing:0;IndexingWellsVisibleInFovButRemoved:0;L1DR time (ms):31437;NetBeadFillRate:29.69;NormalizedFillPercentage:042.28;Notes:Xtalk: usable out of spec wv 577 sr 8 dir 5 value 0.041.;NumberDecSaturated:0;NumberEmpties:65181;NumberFlagged_DeadPixels:82.0000;NumberFlagged_Debris:20132.0000;NumberFlagged_MissingNeighbor:2639.0000;NumberFlagged_NeighborSaturated:06.0000;NumberFlagged_OddlyRecurrentClassification:10043.0000;NumberFlagged_OutOfBounds:4166.0000;NumberFlagged_SaturatedPixelResorufinTwo:01.0000;NumberFlagged_SaturationRemoverSuspiciousF1:01.0000;NumberInvalidWells:31772;NumberPositiveEmpties:265;NumberPositives:77478;NumberResSaturated:1;NumberSaturatedWithoutDebris:1;NumberValidUnclassified:47903.00;NumberValidWells:160828;OddlyAggregatedFlag:2;OddlyAggregatedLocations:;OddlyAggregatedWorst:0;OffsetW488:( 1, 0 );OffsetW577:( 0, 0 );OffsetW647:( 0, 0 );OffsetW700:( 0, 0 );OffsetW750:( 0, -1 );ResorufinUnsaturated:1;ResorufinUnsaturatedMutated:3;ResorufinUnsaturatedSuspiciousF1:1;ResorufinUnsaturaterNumberInFit:222;SaturatedDecodingWells:1;SuspiciousWells:27716;SuspiciousWellsFlagged:1;SuspiciousWellsLowerThreshold:4;Warnings:;WhiteLightChannelMedian:9768;XtalkSubregionsOutOfSpec:0</t>
  </si>
  <si>
    <t>0002_DecodingIntensityStdDev_577F1:91.928;0002_DecodingIntensityStdDev_577F2:188.450;0002_MeanDecodingIntensity_577F1:483.80;0002_MeanDecodingIntensity_577F2:601.24;0002AEB:-;0002DecodingIntensityStdDev:340.766;0002DecodingIntensityStdDev_488:340.766;0002DecodingIntensityStdDev_647:4.800;0002DecodingIntensityStdDev_700:4.679;0002DecodingIntensityStdDev_750:5.903;0002F_on:0.8674;0002FillPercent:013.84;0002KineticInconsistentLower:0;0002KineticInconsistentMetadata:-432.197355553337|2.19;0002MeanDecodingIntensity:1649.25;0002MeanDecodingIntensity_488:1649.25;0002MeanDecodingIntensity_647:35.13;0002MeanDecodingIntensity_700:30.27;0002MeanDecodingIntensity_750:34.97;0002ReflectiveIntensity:13652.82;0002ReflectiveIntensityStdDev:607.471;0002SealTimeEstimate:23.1;0021_DecodingIntensityStdDev_577F1:67.091;0021_DecodingIntensityStdDev_577F2:130.864;0021_MeanDecodingIntensity_577F1:470.19;0021_MeanDecodingIntensity_577F2:577.82;0021AEB:-;0021DecodingIntensityStdDev:85.816;0021DecodingIntensityStdDev_488:21.210;0021DecodingIntensityStdDev_647:85.816;0021DecodingIntensityStdDev_700:9.801;0021DecodingIntensityStdDev_750:6.084;0021F_on:0.9006;0021FillPercent:008.25;0021KineticInconsistentLower:0;0021KineticInconsistentMetadata:-382.81649342|2.09;0021MeanDecodingIntensity:441.04;0021MeanDecodingIntensity_488:141.38;0021MeanDecodingIntensity_647:441.04;0021MeanDecodingIntensity_700:70.86;0021MeanDecodingIntensity_750:35.02;0021ReflectiveIntensity:13410.97;0021ReflectiveIntensityStdDev:535.978;0021SealTimeEstimate:25.4;0201_DecodingIntensityStdDev_577F1:69.424;0201_DecodingIntensityStdDev_577F2:137.426;0201_MeanDecodingIntensity_577F1:468.18;0201_MeanDecodingIntensity_577F2:573.06;0201AEB:-;0201DecodingIntensityStdDev:106.068;0201DecodingIntensityStdDev_488:23.783;0201DecodingIntensityStdDev_647:15.965;0201DecodingIntensityStdDev_700:106.068;0201DecodingIntensityStdDev_750:10.279;0201F_on:0.8845;0201FillPercent:009.53;0201KineticInconsistentLower:0;0201KineticInconsistentMetadata:-374.261858633908|2.07;0201MeanDecodingIntensity:522.43;0201MeanDecodingIntensity_488:143.65;0201MeanDecodingIntensity_647:101.92;0201MeanDecodingIntensity_700:522.43;0201MeanDecodingIntensity_750:66.49;0201ReflectiveIntensity:13439.00;0201ReflectiveIntensityStdDev:542.455;0201SealTimeEstimate:25.9;2001_DecodingIntensityStdDev_577F1:76.768;2001_DecodingIntensityStdDev_577F2:152.420;2001_MeanDecodingIntensity_577F1:499.98;2001_MeanDecodingIntensity_577F2:604.38;2001AEB:-;2001DecodingIntensityStdDev:222.498;2001DecodingIntensityStdDev_488:23.123;2001DecodingIntensityStdDev_647:5.269;2001DecodingIntensityStdDev_700:5.479;2001DecodingIntensityStdDev_750:222.498;2001F_on:0.8781;2001FillPercent:009.01;2001KineticInconsistentLower:0;2001KineticInconsistentMetadata:-397.794039950273|2.05;2001MeanDecodingIntensity:1028.48;2001MeanDecodingIntensity_488:143.33;2001MeanDecodingIntensity_647:38.40;2001MeanDecodingIntensity_700:34.74;2001MeanDecodingIntensity_750:1028.48;2001ReflectiveIntensity:13436.30;2001ReflectiveIntensityStdDev:559.888;2001SealTimeEstimate:26.4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12.22;Empties488F1MeanIntensity:66.78;Empties577F1IntensityStdDev:44.76;Empties577F1MeanIntensity:346.24;Empties577F2IntensityStdDev:71.59;Empties577F2MeanIntensity:348.71;Empties647F1IntensityStdDev:4.48;Empties647F1MeanIntensity:31.81;Empties700F1IntensityStdDev:4.51;Empties700F1MeanIntensity:29.65;Empties750F1IntensityStdDev:5.45;Empties750F1MeanIntensity:34.06;EmptiesIGrowth:294.43;EmptiesReflectiveIntensityStdDev:364.77;EmptiesReflectiveMeanIntensity:12170.13;Errors:;F2minusF1Shift:-2.0;FittedF2OverF1Intercept:-380.357013364835;FittedF2OverF1Slope:2.01018519318373;FluorescenceClassification:Normal;Focus_FracImageLost:0.00;FocusScoresAvg:3.73;FocusScoresImageCenter:4.98;FocusScoresMax:5.23;FocusScoresMedian:3.74;FractionImageDebris:0.0791;FractionWellsDebris:0.0930;ImageQualityScoreIfUnpegged:1.00;IndexingWellsMissingFromFov:0;IndexingWellsTotalLostBothVisibleAndMissing:0;IndexingWellsVisibleInFovButRemoved:0;L1DR time (ms):31406;NetBeadFillRate:28.52;NormalizedFillPercentage:040.64;Notes:;NumberDecSaturated:0;NumberEmpties:65999;NumberFlagged_DeadPixels:83.0000;NumberFlagged_Debris:17892.0000;NumberFlagged_MissingNeighbor:3237.0000;NumberFlagged_NeighborSaturated:06.0000;NumberFlagged_OddlyRecurrentClassification:14192.0000;NumberFlagged_OutOfBounds:4158.0000;NumberFlagged_SaturatedPixelResorufinTwo:01.0000;NumberFlagged_SaturationRemoverSuspiciousF1:01.0000;NumberInvalidWells:33930;NumberPositiveEmpties:228;NumberPositives:73482;NumberResSaturated:1;NumberSaturatedWithoutDebris:1;NumberValidUnclassified:47241.00;NumberValidWells:158418;OddlyAggregatedFlag:2;OddlyAggregatedLocations:;OddlyAggregatedWorst:0;OffsetW488:( 0, 0 );OffsetW577:( 0, 0 );OffsetW647:( 0, 0 );OffsetW700:( 0, 0 );OffsetW750:( 0, -1 );ResorufinUnsaturated:1;ResorufinUnsaturatedMutated:1;ResorufinUnsaturatedSuspiciousF1:1;ResorufinUnsaturaterNumberInFit:253;SaturatedDecodingWells:0;SuspiciousWells:23167;SuspiciousWellsFlagged:1;SuspiciousWellsLowerThreshold:5;Warnings:;WhiteLightChannelMedian:10022;XtalkSubregionsOutOfSpec:0</t>
  </si>
  <si>
    <t>spikein-1-8-3</t>
  </si>
  <si>
    <t>Plate 2 - Well H3</t>
  </si>
  <si>
    <t>0002_DecodingIntensityStdDev_577F1:77.284;0002_DecodingIntensityStdDev_577F2:176.798;0002_MeanDecodingIntensity_577F1:423.07;0002_MeanDecodingIntensity_577F2:466.75;0002AEB:00.2209;0002DecodingIntensityStdDev:343.510;0002DecodingIntensityStdDev_488:343.510;0002DecodingIntensityStdDev_647:4.893;0002DecodingIntensityStdDev_700:4.895;0002DecodingIntensityStdDev_750:6.284;0002F_on:0.1982;0002FillPercent:016.22;0002KineticInconsistentLower:0;0002KineticInconsistentMetadata:-573.174219498694|2.51;0002MeanDecodingIntensity:1540.70;0002MeanDecodingIntensity_488:1540.70;0002MeanDecodingIntensity_647:34.30;0002MeanDecodingIntensity_700:30.05;0002MeanDecodingIntensity_750:35.08;0002ReflectiveIntensity:13148.25;0002ReflectiveIntensityStdDev:579.318;0002SealTimeEstimate:18.1;0021_DecodingIntensityStdDev_577F1:33.730;0021_DecodingIntensityStdDev_577F2:67.569;0021_MeanDecodingIntensity_577F1:391.68;0021_MeanDecodingIntensity_577F2:399.19;0021AEB:00.0233;0021DecodingIntensityStdDev:82.694;0021DecodingIntensityStdDev_488:22.043;0021DecodingIntensityStdDev_647:82.694;0021DecodingIntensityStdDev_700:9.703;0021DecodingIntensityStdDev_750:6.593;0021F_on:0.0230;0021FillPercent:010.08;0021KineticInconsistentLower:0;0021KineticInconsistentMetadata:-557.273200557988|2.5;0021MeanDecodingIntensity:409.09;0021MeanDecodingIntensity_488:131.82;0021MeanDecodingIntensity_647:409.09;0021MeanDecodingIntensity_700:67.02;0021MeanDecodingIntensity_750:35.24;0021ReflectiveIntensity:12900.17;0021ReflectiveIntensityStdDev:463.617;0021SealTimeEstimate:18.2;0201_DecodingIntensityStdDev_577F1:37.290;0201_DecodingIntensityStdDev_577F2:76.162;0201_MeanDecodingIntensity_577F1:392.13;0201_MeanDecodingIntensity_577F2:400.24;0201AEB:00.0251;0201DecodingIntensityStdDev:113.898;0201DecodingIntensityStdDev_488:25.820;0201DecodingIntensityStdDev_647:22.258;0201DecodingIntensityStdDev_700:113.898;0201DecodingIntensityStdDev_750:11.260;0201F_on:0.0247;0201FillPercent:011.43;0201KineticInconsistentLower:0;0201KineticInconsistentMetadata:-576.467735905129|2.53;0201MeanDecodingIntensity:485.44;0201MeanDecodingIntensity_488:134.65;0201MeanDecodingIntensity_647:97.57;0201MeanDecodingIntensity_700:485.44;0201MeanDecodingIntensity_750:64.40;0201ReflectiveIntensity:12955.83;0201ReflectiveIntensityStdDev:502.443;0201SealTimeEstimate:17.8;2001_DecodingIntensityStdDev_577F1:44.431;2001_DecodingIntensityStdDev_577F2:89.231;2001_MeanDecodingIntensity_577F1:421.85;2001_MeanDecodingIntensity_577F2:430.75;2001AEB:00.0260;2001DecodingIntensityStdDev:228.006;2001DecodingIntensityStdDev_488:25.726;2001DecodingIntensityStdDev_647:5.442;2001DecodingIntensityStdDev_700:5.915;2001DecodingIntensityStdDev_750:228.006;2001F_on:0.0256;2001FillPercent:010.94;2001KineticInconsistentLower:0;2001KineticInconsistentMetadata:-647.045358112406|2.59;2001MeanDecodingIntensity:927.84;2001MeanDecodingIntensity_488:134.43;2001MeanDecodingIntensity_647:37.33;2001MeanDecodingIntensity_700:34.14;2001MeanDecodingIntensity_750:927.84;2001ReflectiveIntensity:12956.30;2001ReflectiveIntensityStdDev:517.015;2001SealTimeEstimate:17.1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11.93;Empties488F1MeanIntensity:63.65;Empties577F1IntensityStdDev:19.11;Empties577F1MeanIntensity:360.81;Empties577F2IntensityStdDev:25.13;Empties577F2MeanIntensity:359.77;Empties647F1IntensityStdDev:4.43;Empties647F1MeanIntensity:31.06;Empties700F1IntensityStdDev:4.46;Empties700F1MeanIntensity:29.17;Empties750F1IntensityStdDev:5.46;Empties750F1MeanIntensity:33.66;EmptiesIGrowth:397.92;EmptiesReflectiveIntensityStdDev:276.54;EmptiesReflectiveMeanIntensity:11710.07;Errors:;F2minusF1Shift:-0.8;FluorescenceClassification:Normal;Focus_FracImageLost:0.00;FocusScoresAvg:3.50;FocusScoresImageCenter:5.06;FocusScoresMax:5.06;FocusScoresMedian:3.54;FractionImageDebris:0.0793;FractionWellsDebris:0.0907;ImageQualityScoreIfUnpegged:1.00;IndexingWellsMissingFromFov:0;IndexingWellsTotalLostBothVisibleAndMissing:0;IndexingWellsVisibleInFovButRemoved:0;L1DR time (ms):28174;NetBeadFillRate:34.15;NormalizedFillPercentage:048.67;Notes:Xtalk: usable out of spec wv 577 sr 4 dir 5 value 0.038. | Xtalk: usable out of spec wv 577 sr 8 dir 5 value 0.043.;NumberDecSaturated:0;NumberEmpties:61347;NumberFlagged_DeadPixels:62.0000;NumberFlagged_Debris:17459.0000;NumberFlagged_MissingNeighbor:2470.0000;NumberFlagged_OutOfBounds:4250.0000;NumberInvalidWells:22128;NumberPositiveEmpties:33;NumberPositives:9405;NumberResSaturated:0;NumberSaturatedWithoutDebris:0;NumberValidUnclassified:50834.00;NumberValidWells:170349;OddlyAggregatedFlag:2;OddlyAggregatedLocations:;OddlyAggregatedWorst:0;OffsetW488:( 1, 0 );OffsetW577:( 0, 0 );OffsetW647:( 0, 0 );OffsetW700:( 0, -1 );OffsetW750:( 1, -1 );ResorufinUnsaturated:0;ResorufinUnsaturatedMutated:0;ResorufinUnsaturaterNumberInFit:53;SaturatedDecodingWells:0;SuspiciousWells:24789;SuspiciousWellsFlagged:1;SuspiciousWellsLowerThreshold:4;Warnings:;WhiteLightChannelMedian:9805;XtalkSubregionsOutOfSpec:0</t>
  </si>
  <si>
    <t>0002_DecodingIntensityStdDev_577F1:88.850;0002_DecodingIntensityStdDev_577F2:192.711;0002_MeanDecodingIntensity_577F1:434.18;0002_MeanDecodingIntensity_577F2:479.90;0002AEB:00.2254;0002DecodingIntensityStdDev:366.004;0002DecodingIntensityStdDev_488:366.004;0002DecodingIntensityStdDev_647:4.791;0002DecodingIntensityStdDev_700:4.655;0002DecodingIntensityStdDev_750:5.946;0002F_on:0.2018;0002FillPercent:013.51;0002KineticInconsistentLower:0;0002KineticInconsistentMetadata:-535.796012554579|2.39;0002MeanDecodingIntensity:1707.89;0002MeanDecodingIntensity_488:1707.89;0002MeanDecodingIntensity_647:35.11;0002MeanDecodingIntensity_700:30.29;0002MeanDecodingIntensity_750:35.17;0002ReflectiveIntensity:13500.57;0002ReflectiveIntensityStdDev:594.158;0002SealTimeEstimate:19.7;0021_DecodingIntensityStdDev_577F1:44.945;0021_DecodingIntensityStdDev_577F2:92.288;0021_MeanDecodingIntensity_577F1:398.54;0021_MeanDecodingIntensity_577F2:406.39;0021AEB:00.0240;0021DecodingIntensityStdDev:87.574;0021DecodingIntensityStdDev_488:20.583;0021DecodingIntensityStdDev_647:87.574;0021DecodingIntensityStdDev_700:10.045;0021DecodingIntensityStdDev_750:6.114;0021F_on:0.0237;0021FillPercent:008.26;0021KineticInconsistentLower:0;0021KineticInconsistentMetadata:-522.598753155651|2.38;0021MeanDecodingIntensity:459.93;0021MeanDecodingIntensity_488:143.65;0021MeanDecodingIntensity_647:459.93;0021MeanDecodingIntensity_700:72.01;0021MeanDecodingIntensity_750:35.21;0021ReflectiveIntensity:13252.97;0021ReflectiveIntensityStdDev:496.986;0021SealTimeEstimate:19.8;0201_DecodingIntensityStdDev_577F1:39.288;0201_DecodingIntensityStdDev_577F2:80.396;0201_MeanDecodingIntensity_577F1:397.72;0201_MeanDecodingIntensity_577F2:405.61;0201AEB:00.0244;0201DecodingIntensityStdDev:109.239;0201DecodingIntensityStdDev_488:23.032;0201DecodingIntensityStdDev_647:15.694;0201DecodingIntensityStdDev_700:109.239;0201DecodingIntensityStdDev_750:10.286;0201F_on:0.0241;0201FillPercent:009.22;0201KineticInconsistentLower:0;0201KineticInconsistentMetadata:-538.199492215996|2.41;0201MeanDecodingIntensity:537.98;0201MeanDecodingIntensity_488:145.13;0201MeanDecodingIntensity_647:102.48;0201MeanDecodingIntensity_700:537.98;0201MeanDecodingIntensity_750:66.57;0201ReflectiveIntensity:13278.27;0201ReflectiveIntensityStdDev:513.955;0201SealTimeEstimate:19.4;2001_DecodingIntensityStdDev_577F1:45.750;2001_DecodingIntensityStdDev_577F2:90.444;2001_MeanDecodingIntensity_577F1:431.28;2001_MeanDecodingIntensity_577F2:440.28;2001AEB:00.0282;2001DecodingIntensityStdDev:226.701;2001DecodingIntensityStdDev_488:24.287;2001DecodingIntensityStdDev_647:5.272;2001DecodingIntensityStdDev_700:5.372;2001DecodingIntensityStdDev_750:226.701;2001F_on:0.0278;2001FillPercent:008.94;2001KineticInconsistentLower:0;2001KineticInconsistentMetadata:-586.918713256639|2.43;2001MeanDecodingIntensity:1026.05;2001MeanDecodingIntensity_488:145.09;2001MeanDecodingIntensity_647:38.43;2001MeanDecodingIntensity_700:34.60;2001MeanDecodingIntensity_750:1026.05;2001ReflectiveIntensity:13288.79;2001ReflectiveIntensityStdDev:535.721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11.37;Empties488F1MeanIntensity:68.20;Empties577F1IntensityStdDev:23.60;Empties577F1MeanIntensity:363.99;Empties577F2IntensityStdDev:37.88;Empties577F2MeanIntensity:362.67;Empties647F1IntensityStdDev:4.26;Empties647F1MeanIntensity:31.60;Empties700F1IntensityStdDev:4.19;Empties700F1MeanIntensity:29.33;Empties750F1IntensityStdDev:5.12;Empties750F1MeanIntensity:33.82;EmptiesIGrowth:323.38;EmptiesReflectiveIntensityStdDev:316.83;EmptiesReflectiveMeanIntensity:11941.91;Errors:;F2minusF1Shift:-0.1;FluorescenceClassification:Normal;Focus_FracImageLost:0.00;FocusScoresAvg:3.64;FocusScoresImageCenter:4.81;FocusScoresMax:4.89;FocusScoresMedian:3.65;FractionImageDebris:0.0962;FractionWellsDebris:0.1044;ImageQualityScoreIfUnpegged:1.00;IndexingWellsMissingFromFov:0;IndexingWellsTotalLostBothVisibleAndMissing:0;IndexingWellsVisibleInFovButRemoved:0;L1DR time (ms):27432;NetBeadFillRate:28.04;NormalizedFillPercentage:039.92;Notes:Xtalk: usable out of spec wv 577 sr 8 dir 5 value 0.036.;NumberDecSaturated:0;NumberEmpties:70876;NumberFlagged_DeadPixels:71.0000;NumberFlagged_Debris:20105.0000;NumberFlagged_MissingNeighbor:2743.0000;NumberFlagged_NeighborSaturated:06.0000;NumberFlagged_OddlyRecurrentClassification:1474.0000;NumberFlagged_OutOfBounds:4206.0000;NumberFlagged_SaturatedPixelResorufinTwo:01.0000;NumberInvalidWells:24521;NumberPositiveEmpties:162;NumberPositives:8599;NumberResSaturated:1;NumberSaturatedWithoutDebris:1;NumberValidUnclassified:50006.00;NumberValidWells:167983;OddlyAggregatedFlag:2;OddlyAggregatedLocations:;OddlyAggregatedWorst:0;OffsetW488:( 1, 0 );OffsetW577:( 0, 0 );OffsetW647:( 0, 0 );OffsetW700:( 0, 0 );OffsetW750:( 0, -1 );ResorufinUnsaturated:0;ResorufinUnsaturatedMutated:0;ResorufinUnsaturaterNumberInFit:89;SaturatedDecodingWells:0;SuspiciousWells:21769;SuspiciousWellsFlagged:1;SuspiciousWellsLowerThreshold:5;Warnings:;WhiteLightChannelMedian:9895;XtalkSubregionsOutOfSpec:0</t>
  </si>
  <si>
    <t>0002_DecodingIntensityStdDev_577F1:88.695;0002_DecodingIntensityStdDev_577F2:195.224;0002_MeanDecodingIntensity_577F1:429.40;0002_MeanDecodingIntensity_577F2:474.70;0002AEB:00.2222;0002DecodingIntensityStdDev:365.844;0002DecodingIntensityStdDev_488:365.844;0002DecodingIntensityStdDev_647:4.904;0002DecodingIntensityStdDev_700:4.766;0002DecodingIntensityStdDev_750:6.164;0002F_on:0.1992;0002FillPercent:015.37;0002KineticInconsistentLower:0;0002KineticInconsistentMetadata:-523.142102827465|2.39;0002MeanDecodingIntensity:1675.51;0002MeanDecodingIntensity_488:1675.51;0002MeanDecodingIntensity_647:34.82;0002MeanDecodingIntensity_700:30.28;0002MeanDecodingIntensity_750:35.22;0002ReflectiveIntensity:13469.61;0002ReflectiveIntensityStdDev:617.605;0002SealTimeEstimate:19.7;0021_DecodingIntensityStdDev_577F1:47.685;0021_DecodingIntensityStdDev_577F2:96.315;0021_MeanDecodingIntensity_577F1:395.13;0021_MeanDecodingIntensity_577F2:403.57;0021AEB:00.0243;0021DecodingIntensityStdDev:87.007;0021DecodingIntensityStdDev_488:21.460;0021DecodingIntensityStdDev_647:87.007;0021DecodingIntensityStdDev_700:10.041;0021DecodingIntensityStdDev_750:6.333;0021F_on:0.0240;0021FillPercent:009.19;0021KineticInconsistentLower:0;0021KineticInconsistentMetadata:-553.237419985657|2.46;0021MeanDecodingIntensity:439.64;0021MeanDecodingIntensity_488:139.39;0021MeanDecodingIntensity_647:439.64;0021MeanDecodingIntensity_700:70.01;0021MeanDecodingIntensity_750:35.14;0021ReflectiveIntensity:13207.19;0021ReflectiveIntensityStdDev:513.053;0021SealTimeEstimate:18.7;0201_DecodingIntensityStdDev_577F1:38.509;0201_DecodingIntensityStdDev_577F2:74.225;0201_MeanDecodingIntensity_577F1:394.10;0201_MeanDecodingIntensity_577F2:401.89;0201AEB:00.0232;0201DecodingIntensityStdDev:117.905;0201DecodingIntensityStdDev_488:25.371;0201DecodingIntensityStdDev_647:18.746;0201DecodingIntensityStdDev_700:117.905;0201DecodingIntensityStdDev_750:10.871;0201F_on:0.0229;0201FillPercent:010.73;0201KineticInconsistentLower:0;0201KineticInconsistentMetadata:-519.389859501538|2.39;0201MeanDecodingIntensity:520.76;0201MeanDecodingIntensity_488:141.91;0201MeanDecodingIntensity_647:100.59;0201MeanDecodingIntensity_700:520.76;0201MeanDecodingIntensity_750:65.79;0201ReflectiveIntensity:13253.67;0201ReflectiveIntensityStdDev:551.987;0201SealTimeEstimate:19.7;2001_DecodingIntensityStdDev_577F1:42.133;2001_DecodingIntensityStdDev_577F2:79.865;2001_MeanDecodingIntensity_577F1:426.57;2001_MeanDecodingIntensity_577F2:435.08;2001AEB:00.0267;2001DecodingIntensityStdDev:241.585;2001DecodingIntensityStdDev_488:26.538;2001DecodingIntensityStdDev_647:5.401;2001DecodingIntensityStdDev_700:5.702;2001DecodingIntensityStdDev_750:241.585;2001F_on:0.0263;2001FillPercent:010.26;2001KineticInconsistentLower:0;2001KineticInconsistentMetadata:-557.027881023609|2.38;2001MeanDecodingIntensity:1000.80;2001MeanDecodingIntensity_488:142.19;2001MeanDecodingIntensity_647:38.13;2001MeanDecodingIntensity_700:34.50;2001MeanDecodingIntensity_750:1000.80;2001ReflectiveIntensity:13261.30;2001ReflectiveIntensityStdDev:550.537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11.92;Empties488F1MeanIntensity:64.47;Empties577F1IntensityStdDev:29.06;Empties577F1MeanIntensity:354.67;Empties577F2IntensityStdDev:34.90;Empties577F2MeanIntensity:354.02;Empties647F1IntensityStdDev:4.37;Empties647F1MeanIntensity:31.24;Empties700F1IntensityStdDev:4.37;Empties700F1MeanIntensity:29.25;Empties750F1IntensityStdDev:5.29;Empties750F1MeanIntensity:33.66;EmptiesIGrowth:415.55;EmptiesReflectiveIntensityStdDev:304.63;EmptiesReflectiveMeanIntensity:11881.77;Errors:;F2minusF1Shift:-0.8;FluorescenceClassification:Normal;Focus_FracImageLost:0.00;FocusScoresAvg:3.62;FocusScoresImageCenter:4.87;FocusScoresMax:4.94;FocusScoresMedian:3.62;FractionImageDebris:0.0725;FractionWellsDebris:0.0827;ImageQualityScoreIfUnpegged:1.00;IndexingWellsMissingFromFov:0;IndexingWellsTotalLostBothVisibleAndMissing:0;IndexingWellsVisibleInFovButRemoved:0;L1DR time (ms):26858;NetBeadFillRate:31.96;NormalizedFillPercentage:045.54;Notes:;NumberDecSaturated:0;NumberEmpties:65522;NumberFlagged_DeadPixels:79.0000;NumberFlagged_Debris:15903.0000;NumberFlagged_MissingNeighbor:3246.0000;NumberFlagged_OutOfBounds:4191.0000;NumberInvalidWells:20937;NumberPositiveEmpties:43;NumberPositives:9060;NumberResSaturated:0;NumberSaturatedWithoutDebris:0;NumberValidUnclassified:51111.00;NumberValidWells:171429;OddlyAggregatedFlag:2;OddlyAggregatedLocations:;OddlyAggregatedWorst:0;OffsetW488:( 1, 0 );OffsetW577:( 0, 0 );OffsetW647:( 0, 0 );OffsetW700:( 0, 0 );OffsetW750:( 0, -1 );ResorufinUnsaturated:0;ResorufinUnsaturatedMutated:0;ResorufinUnsaturaterNumberInFit:97;SaturatedDecodingWells:1;SuspiciousWells:25734;SuspiciousWellsFlagged:1;SuspiciousWellsLowerThreshold:5;Warnings:;WhiteLightChannelMedian:9898;XtalkSubregionsOutOfSpec:0</t>
  </si>
  <si>
    <t>spikein-1-8-4</t>
  </si>
  <si>
    <t>Plate 2 - Well H4</t>
  </si>
  <si>
    <t>0002_DecodingIntensityStdDev_577F1:93.848;0002_DecodingIntensityStdDev_577F2:201.507;0002_MeanDecodingIntensity_577F1:447.29;0002_MeanDecodingIntensity_577F2:509.31;0002AEB:00.3319;0002DecodingIntensityStdDev:372.454;0002DecodingIntensityStdDev_488:372.454;0002DecodingIntensityStdDev_647:5.237;0002DecodingIntensityStdDev_700:5.266;0002DecodingIntensityStdDev_750:6.738;0002F_on:0.2825;0002FillPercent:014.10;0002KineticInconsistentLower:0;0002KineticInconsistentMetadata:-550.650056078098|2.41;0002MeanDecodingIntensity:1651.15;0002MeanDecodingIntensity_488:1651.15;0002MeanDecodingIntensity_647:35.32;0002MeanDecodingIntensity_700:30.73;0002MeanDecodingIntensity_750:35.94;0002ReflectiveIntensity:13726.36;0002ReflectiveIntensityStdDev:628.685;0002SealTimeEstimate:19.4;0021_DecodingIntensityStdDev_577F1:57.405;0021_DecodingIntensityStdDev_577F2:115.850;0021_MeanDecodingIntensity_577F1:417.19;0021_MeanDecodingIntensity_577F2:448.83;0021AEB:00.2109;0021DecodingIntensityStdDev:92.452;0021DecodingIntensityStdDev_488:25.443;0021DecodingIntensityStdDev_647:92.452;0021DecodingIntensityStdDev_700:10.914;0021DecodingIntensityStdDev_750:7.279;0021F_on:0.1901;0021FillPercent:008.28;0021KineticInconsistentLower:0;0021KineticInconsistentMetadata:-472.846409747998|2.25;0021MeanDecodingIntensity:432.64;0021MeanDecodingIntensity_488:144.56;0021MeanDecodingIntensity_647:432.64;0021MeanDecodingIntensity_700:70.09;0021MeanDecodingIntensity_750:36.04;0021ReflectiveIntensity:13493.44;0021ReflectiveIntensityStdDev:565.165;0021SealTimeEstimate:22.0;0201_DecodingIntensityStdDev_577F1:54.632;0201_DecodingIntensityStdDev_577F2:108.868;0201_MeanDecodingIntensity_577F1:419.05;0201_MeanDecodingIntensity_577F2:451.82;0201AEB:00.2112;0201DecodingIntensityStdDev:141.339;0201DecodingIntensityStdDev_488:36.553;0201DecodingIntensityStdDev_647:36.251;0201DecodingIntensityStdDev_700:141.339;0201DecodingIntensityStdDev_750:14.242;0201F_on:0.1904;0201FillPercent:010.43;0201KineticInconsistentLower:0;0201KineticInconsistentMetadata:-468.785457178159|2.24;0201MeanDecodingIntensity:513.35;0201MeanDecodingIntensity_488:150.20;0201MeanDecodingIntensity_647:106.38;0201MeanDecodingIntensity_700:513.35;0201MeanDecodingIntensity_750:67.10;0201ReflectiveIntensity:13599.48;0201ReflectiveIntensityStdDev:626.142;0201SealTimeEstimate:22.2;2001_DecodingIntensityStdDev_577F1:57.341;2001_DecodingIntensityStdDev_577F2:111.035;2001_MeanDecodingIntensity_577F1:448.59;2001_MeanDecodingIntensity_577F2:480.36;2001AEB:00.1914;2001DecodingIntensityStdDev:272.450;2001DecodingIntensityStdDev_488:47.159;2001DecodingIntensityStdDev_647:8.637;2001DecodingIntensityStdDev_700:8.075;2001DecodingIntensityStdDev_750:272.450;2001F_on:0.1742;2001FillPercent:009.73;2001KineticInconsistentLower:0;2001KineticInconsistentMetadata:-496.185072560244|2.22;2001MeanDecodingIntensity:964.50;2001MeanDecodingIntensity_488:150.72;2001MeanDecodingIntensity_647:39.13;2001MeanDecodingIntensity_700:35.61;2001MeanDecodingIntensity_750:964.50;2001ReflectiveIntensity:13570.20;2001ReflectiveIntensityStdDev:615.497;2001SealTimeEstimate:22.5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14.03;Empties488F1MeanIntensity:70.61;Empties577F1IntensityStdDev:34.59;Empties577F1MeanIntensity:354.66;Empties577F2IntensityStdDev:40.85;Empties577F2MeanIntensity:354.55;Empties647F1IntensityStdDev:4.69;Empties647F1MeanIntensity:31.87;Empties700F1IntensityStdDev:4.79;Empties700F1MeanIntensity:29.74;Empties750F1IntensityStdDev:5.77;Empties750F1MeanIntensity:34.30;EmptiesIGrowth:299.09;EmptiesReflectiveIntensityStdDev:359.49;EmptiesReflectiveMeanIntensity:12225.84;Errors:;F2minusF1Shift:-3.2;FluorescenceClassification:Normal;Focus_FracImageLost:0.00;FocusScoresAvg:3.73;FocusScoresImageCenter:5.10;FocusScoresMax:5.24;FocusScoresMedian:3.76;FractionImageDebris:0.0790;FractionWellsDebris:0.0926;ImageQualityScoreIfUnpegged:1.00;IndexingWellsMissingFromFov:0;IndexingWellsTotalLostBothVisibleAndMissing:0;IndexingWellsVisibleInFovButRemoved:0;L1DR time (ms):27364;NetBeadFillRate:29.85;NormalizedFillPercentage:042.54;Notes:Xtalk: usable out of spec wv 577 sr 0 dir 0 value 0.038. | Xtalk: usable out of spec wv 577 sr 4 dir 0 value 0.043. | Xtalk: usable out of spec wv 577 sr 8 dir 5 value 0.043.;NumberDecSaturated:1;NumberEmpties:68115;NumberFlagged_DeadPixels:80.0000;NumberFlagged_Debris:17787.0000;NumberFlagged_MissingNeighbor:3403.0000;NumberFlagged_NeighborSaturated:06.0000;NumberFlagged_OddlyRecurrentClassification:283.0000;NumberFlagged_OutOfBounds:4235.0000;NumberFlagged_SaturatedPixelDecodingFour:01.0000;NumberInvalidWells:23226;NumberPositiveEmpties:76;NumberPositives:24627;NumberResSaturated:0;NumberSaturatedWithoutDebris:1;NumberValidUnclassified:50399.00;NumberValidWells:168933;OddlyAggregatedFlag:2;OddlyAggregatedLocations:;OddlyAggregatedWorst:0;OffsetW488:( 0, 0 );OffsetW577:( 0, 0 );OffsetW647:( 0, 0 );OffsetW700:( 0, 0 );OffsetW750:( 0, -1 );ResorufinUnsaturated:0;ResorufinUnsaturatedMutated:0;ResorufinUnsaturaterNumberInFit:165;SaturatedDecodingWells:1;SuspiciousWells:27237;SuspiciousWellsFlagged:1;SuspiciousWellsLowerThreshold:6;Warnings:;WhiteLightChannelMedian:10137;XtalkSubregionsOutOfSpec:0</t>
  </si>
  <si>
    <t>0002_DecodingIntensityStdDev_577F1:92.897;0002_DecodingIntensityStdDev_577F2:201.176;0002_MeanDecodingIntensity_577F1:450.25;0002_MeanDecodingIntensity_577F2:514.74;0002AEB:00.3742;0002DecodingIntensityStdDev:368.300;0002DecodingIntensityStdDev_488:368.300;0002DecodingIntensityStdDev_647:5.423;0002DecodingIntensityStdDev_700:5.357;0002DecodingIntensityStdDev_750:6.832;0002F_on:0.3121;0002FillPercent:015.80;0002KineticInconsistentLower:0;0002KineticInconsistentMetadata:-556.861553405997|2.43;0002MeanDecodingIntensity:1599.49;0002MeanDecodingIntensity_488:1599.49;0002MeanDecodingIntensity_647:35.22;0002MeanDecodingIntensity_700:30.76;0002MeanDecodingIntensity_750:35.90;0002ReflectiveIntensity:13450.03;0002ReflectiveIntensityStdDev:656.252;0002SealTimeEstimate:19.1;0021_DecodingIntensityStdDev_577F1:66.675;0021_DecodingIntensityStdDev_577F2:137.601;0021_MeanDecodingIntensity_577F1:421.36;0021_MeanDecodingIntensity_577F2:455.58;0021AEB:00.1924;0021DecodingIntensityStdDev:93.078;0021DecodingIntensityStdDev_488:26.692;0021DecodingIntensityStdDev_647:93.078;0021DecodingIntensityStdDev_700:11.175;0021DecodingIntensityStdDev_750:7.450;0021F_on:0.1750;0021FillPercent:009.36;0021KineticInconsistentLower:0;0021KineticInconsistentMetadata:-467.421666508856|2.24;0021MeanDecodingIntensity:425.29;0021MeanDecodingIntensity_488:143.25;0021MeanDecodingIntensity_647:425.29;0021MeanDecodingIntensity_700:69.22;0021MeanDecodingIntensity_750:36.25;0021ReflectiveIntensity:13223.72;0021ReflectiveIntensityStdDev:572.064;0021SealTimeEstimate:22.2;0201_DecodingIntensityStdDev_577F1:60.129;0201_DecodingIntensityStdDev_577F2:122.169;0201_MeanDecodingIntensity_577F1:423.24;0201_MeanDecodingIntensity_577F2:458.04;0201AEB:00.2181;0201DecodingIntensityStdDev:142.976;0201DecodingIntensityStdDev_488:52.815;0201DecodingIntensityStdDev_647:50.232;0201DecodingIntensityStdDev_700:142.976;0201DecodingIntensityStdDev_750:15.337;0201F_on:0.1959;0201FillPercent:011.65;0201KineticInconsistentLower:0;0201KineticInconsistentMetadata:-460.729455868233|2.22;0201MeanDecodingIntensity:503.01;0201MeanDecodingIntensity_488:151.45;0201MeanDecodingIntensity_647:108.26;0201MeanDecodingIntensity_700:503.01;0201MeanDecodingIntensity_750:67.30;0201ReflectiveIntensity:13345.72;0201ReflectiveIntensityStdDev:659.127;0201SealTimeEstimate:22.5;2001_DecodingIntensityStdDev_577F1:56.305;2001_DecodingIntensityStdDev_577F2:111.904;2001_MeanDecodingIntensity_577F1:451.95;2001_MeanDecodingIntensity_577F2:485.73;2001AEB:00.1730;2001DecodingIntensityStdDev:276.350;2001DecodingIntensityStdDev_488:57.041;2001DecodingIntensityStdDev_647:9.754;2001DecodingIntensityStdDev_700:7.749;2001DecodingIntensityStdDev_750:276.350;2001F_on:0.1588;2001FillPercent:010.78;2001KineticInconsistentLower:0;2001KineticInconsistentMetadata:-517.242201060033|2.27;2001MeanDecodingIntensity:988.22;2001MeanDecodingIntensity_488:150.38;2001MeanDecodingIntensity_647:39.12;2001MeanDecodingIntensity_700:35.55;2001MeanDecodingIntensity_750:988.22;2001ReflectiveIntensity:13292.46;2001ReflectiveIntensityStdDev:624.211;2001SealTimeEstimate:21.6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13.89;Empties488F1MeanIntensity:68.68;Empties577F1IntensityStdDev:28.72;Empties577F1MeanIntensity:368.92;Empties577F2IntensityStdDev:49.77;Empties577F2MeanIntensity:368.65;Empties647F1IntensityStdDev:4.76;Empties647F1MeanIntensity:31.58;Empties700F1IntensityStdDev:4.83;Empties700F1MeanIntensity:29.60;Empties750F1IntensityStdDev:5.93;Empties750F1MeanIntensity:34.24;EmptiesIGrowth:324.45;EmptiesReflectiveIntensityStdDev:330.17;EmptiesReflectiveMeanIntensity:11927.00;Errors:;F2minusF1Shift:-3.0;FittedF2OverF1Intercept:-521.447024812969;FittedF2OverF1Slope:2.16135302495857;FluorescenceClassification:Normal;Focus_FracImageLost:0.00;FocusScoresAvg:3.63;FocusScoresImageCenter:4.85;FocusScoresMax:5.17;FocusScoresMedian:3.70;FractionImageDebris:0.1293;FractionWellsDebris:0.1417;ImageQualityScoreIfUnpegged:1.00;IndexingWellsMissingFromFov:0;IndexingWellsTotalLostBothVisibleAndMissing:0;IndexingWellsVisibleInFovButRemoved:0;L1DR time (ms):27288;NetBeadFillRate:33.37;NormalizedFillPercentage:047.60;Notes:Xtalk: usable out of spec wv 577 sr 8 dir 5 value 0.046.;NumberDecSaturated:2;NumberEmpties:58638;NumberFlagged_DeadPixels:81.0000;NumberFlagged_Debris:27223.0000;NumberFlagged_MissingNeighbor:3382.0000;NumberFlagged_NeighborSaturated:18.0000;NumberFlagged_OddlyRecurrentClassification:8612.0000;NumberFlagged_OutOfBounds:4148.0000;NumberFlagged_SaturatedPixelDecodingFour:02.0000;NumberFlagged_SaturatedPixelResorufinTwo:02.0000;NumberFlagged_SaturationRemoverSuspiciousF1:01.0000;NumberInvalidWells:32480;NumberPositiveEmpties:162;NumberPositives:32023;NumberResSaturated:2;NumberSaturatedWithoutDebris:1;NumberValidUnclassified:47685.00;NumberValidWells:159584;OddlyAggregatedFlag:2;OddlyAggregatedLocations:;OddlyAggregatedWorst:0;OffsetW488:( 1, 0 );OffsetW577:( 0, 0 );OffsetW647:( 0, 0 );OffsetW700:( 0, -1 );OffsetW750:( 1, -1 );ResorufinUnsaturated:1;ResorufinUnsaturatedMutated:0;ResorufinUnsaturatedSuspiciousF1:1;ResorufinUnsaturaterNumberInFit:242;SaturatedDecodingWells:0;SuspiciousWells:22286;SuspiciousWellsFlagged:1;SuspiciousWellsLowerThreshold:7;Warnings:;WhiteLightChannelMedian:10032;XtalkSubregionsOutOfSpec:0</t>
  </si>
  <si>
    <t>0002_DecodingIntensityStdDev_577F1:75.120;0002_DecodingIntensityStdDev_577F2:186.290;0002_MeanDecodingIntensity_577F1:444.42;0002_MeanDecodingIntensity_577F2:508.04;0002AEB:00.3479;0002DecodingIntensityStdDev:380.183;0002DecodingIntensityStdDev_488:380.183;0002DecodingIntensityStdDev_647:5.080;0002DecodingIntensityStdDev_700:5.110;0002DecodingIntensityStdDev_750:6.393;0002F_on:0.2938;0002FillPercent:015.60;0002KineticInconsistentLower:0;0002KineticInconsistentMetadata:-717.13576299715|2.82;0002MeanDecodingIntensity:1585.42;0002MeanDecodingIntensity_488:1585.42;0002MeanDecodingIntensity_647:34.88;0002MeanDecodingIntensity_700:30.43;0002MeanDecodingIntensity_750:35.38;0002ReflectiveIntensity:13360.38;0002ReflectiveIntensityStdDev:627.488;0002SealTimeEstimate:14.9;0021_DecodingIntensityStdDev_577F1:40.645;0021_DecodingIntensityStdDev_577F2:90.690;0021_MeanDecodingIntensity_577F1:419.28;0021_MeanDecodingIntensity_577F2:450.61;0021AEB:00.1964;0021DecodingIntensityStdDev:87.560;0021DecodingIntensityStdDev_488:23.744;0021DecodingIntensityStdDev_647:87.560;0021DecodingIntensityStdDev_700:10.509;0021DecodingIntensityStdDev_750:6.983;0021F_on:0.1783;0021FillPercent:009.22;0021KineticInconsistentLower:0;0021KineticInconsistentMetadata:-584.939009895209|2.54;0021MeanDecodingIntensity:413.96;0021MeanDecodingIntensity_488:140.08;0021MeanDecodingIntensity_647:413.96;0021MeanDecodingIntensity_700:68.01;0021MeanDecodingIntensity_750:35.73;0021ReflectiveIntensity:13123.72;0021ReflectiveIntensityStdDev:517.292;0021SealTimeEstimate:17.7;0201_DecodingIntensityStdDev_577F1:46.451;0201_DecodingIntensityStdDev_577F2:102.821;0201_MeanDecodingIntensity_577F1:422.14;0201_MeanDecodingIntensity_577F2:454.95;0201AEB:00.2081;0201DecodingIntensityStdDev:142.020;0201DecodingIntensityStdDev_488:39.710;0201DecodingIntensityStdDev_647:41.507;0201DecodingIntensityStdDev_700:142.020;0201DecodingIntensityStdDev_750:14.492;0201F_on:0.1879;0201FillPercent:011.17;0201KineticInconsistentLower:0;0201KineticInconsistentMetadata:-600.697059999748|2.57;0201MeanDecodingIntensity:497.23;0201MeanDecodingIntensity_488:146.56;0201MeanDecodingIntensity_647:102.78;0201MeanDecodingIntensity_700:497.23;0201MeanDecodingIntensity_750:64.99;0201ReflectiveIntensity:13246.71;0201ReflectiveIntensityStdDev:620.655;0201SealTimeEstimate:17.3;2001_DecodingIntensityStdDev_577F1:47.722;2001_DecodingIntensityStdDev_577F2:102.577;2001_MeanDecodingIntensity_577F1:450.09;2001_MeanDecodingIntensity_577F2:482.51;2001AEB:00.1815;2001DecodingIntensityStdDev:262.025;2001DecodingIntensityStdDev_488:58.046;2001DecodingIntensityStdDev_647:9.459;2001DecodingIntensityStdDev_700:7.610;2001DecodingIntensityStdDev_750:262.025;2001F_on:0.1660;2001FillPercent:010.42;2001KineticInconsistentLower:0;2001KineticInconsistentMetadata:-626.507782944198|2.54;2001MeanDecodingIntensity:931.20;2001MeanDecodingIntensity_488:147.70;2001MeanDecodingIntensity_647:38.58;2001MeanDecodingIntensity_700:34.91;2001MeanDecodingIntensity_750:931.20;2001ReflectiveIntensity:13219.43;2001ReflectiveIntensityStdDev:593.302;2001SealTimeEstimate:17.7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12.08;Empties488F1MeanIntensity:69.85;Empties577F1IntensityStdDev:21.78;Empties577F1MeanIntensity:375.94;Empties577F2IntensityStdDev:32.58;Empties577F2MeanIntensity:375.17;Empties647F1IntensityStdDev:4.30;Empties647F1MeanIntensity:31.36;Empties700F1IntensityStdDev:4.29;Empties700F1MeanIntensity:29.32;Empties750F1IntensityStdDev:5.23;Empties750F1MeanIntensity:33.73;EmptiesIGrowth:283.78;EmptiesReflectiveIntensityStdDev:308.37;EmptiesReflectiveMeanIntensity:11874.44;Errors:;F2minusF1Shift:-2.5;FluorescenceClassification:Normal;Focus_FracImageLost:0.00;FocusScoresAvg:3.65;FocusScoresImageCenter:4.30;FocusScoresMax:4.90;FocusScoresMedian:3.65;FractionImageDebris:0.0644;FractionWellsDebris:0.0743;ImageQualityScoreIfUnpegged:1.00;IndexingWellsMissingFromFov:0;IndexingWellsTotalLostBothVisibleAndMissing:0;IndexingWellsVisibleInFovButRemoved:0;L1DR time (ms):27918;NetBeadFillRate:32.57;NormalizedFillPercentage:046.41;Notes:Xtalk: usable out of spec wv 577 sr 8 dir 5 value 0.041.;NumberDecSaturated:0;NumberEmpties:65006;NumberFlagged_DeadPixels:73.0000;NumberFlagged_Debris:14295.0000;NumberFlagged_MissingNeighbor:3181.0000;NumberFlagged_OutOfBounds:4152.0000;NumberInvalidWells:19464;NumberPositiveEmpties:114;NumberPositives:26755;NumberResSaturated:0;NumberSaturatedWithoutDebris:0;NumberValidUnclassified:51542.00;NumberValidWells:172843;OddlyAggregatedFlag:2;OddlyAggregatedLocations:;OddlyAggregatedWorst:0;OffsetW488:( 1, -1 );OffsetW577:( 0, 0 );OffsetW647:( 0, 0 );OffsetW700:( 0, 0 );OffsetW750:( 0, -1 );ResorufinUnsaturated:0;ResorufinUnsaturatedMutated:0;ResorufinUnsaturaterNumberInFit:48;SaturatedDecodingWells:0;SuspiciousWells:25139;SuspiciousWellsFlagged:1;SuspiciousWellsLowerThreshold:6;Warnings:;WhiteLightChannelMedian:9952;XtalkSubregionsOutOfSpec:0</t>
  </si>
  <si>
    <t>spikein-1-4-1</t>
  </si>
  <si>
    <t>Plate 2 - Well A5</t>
  </si>
  <si>
    <t>0002_DecodingIntensityStdDev_577F1:85.436;0002_DecodingIntensityStdDev_577F2:186.988;0002_MeanDecodingIntensity_577F1:433.52;0002_MeanDecodingIntensity_577F2:476.10;0002AEB:00.2011;0002DecodingIntensityStdDev:359.348;0002DecodingIntensityStdDev_488:359.348;0002DecodingIntensityStdDev_647:5.173;0002DecodingIntensityStdDev_700:5.090;0002DecodingIntensityStdDev_750:6.384;0002F_on:0.1822;0002FillPercent:015.42;0002KineticInconsistentLower:0;0002KineticInconsistentMetadata:-536.255628830407|2.4;0002MeanDecodingIntensity:1588.29;0002MeanDecodingIntensity_488:1588.29;0002MeanDecodingIntensity_647:35.04;0002MeanDecodingIntensity_700:30.55;0002MeanDecodingIntensity_750:35.39;0002ReflectiveIntensity:13355.39;0002ReflectiveIntensityStdDev:656.145;0002SealTimeEstimate:19.5;0021_DecodingIntensityStdDev_577F1:52.079;0021_DecodingIntensityStdDev_577F2:110.749;0021_MeanDecodingIntensity_577F1:405.38;0021_MeanDecodingIntensity_577F2:418.25;0021AEB:00.0396;0021DecodingIntensityStdDev:91.262;0021DecodingIntensityStdDev_488:25.046;0021DecodingIntensityStdDev_647:91.262;0021DecodingIntensityStdDev_700:10.686;0021DecodingIntensityStdDev_750:6.687;0021F_on:0.0388;0021FillPercent:009.37;0021KineticInconsistentLower:0;0021KineticInconsistentMetadata:-547.346465538567|2.43;0021MeanDecodingIntensity:428.32;0021MeanDecodingIntensity_488:143.77;0021MeanDecodingIntensity_647:428.32;0021MeanDecodingIntensity_700:69.18;0021MeanDecodingIntensity_750:35.43;0021ReflectiveIntensity:13125.17;0021ReflectiveIntensityStdDev:564.031;0021SealTimeEstimate:19.1;0201_DecodingIntensityStdDev_577F1:68.145;0201_DecodingIntensityStdDev_577F2:143.894;0201_MeanDecodingIntensity_577F1:407.65;0201_MeanDecodingIntensity_577F2:422.69;0201AEB:00.0453;0201DecodingIntensityStdDev:130.653;0201DecodingIntensityStdDev_488:39.061;0201DecodingIntensityStdDev_647:39.229;0201DecodingIntensityStdDev_700:130.653;0201DecodingIntensityStdDev_750:14.462;0201F_on:0.0443;0201FillPercent:011.04;0201KineticInconsistentLower:0;0201KineticInconsistentMetadata:-563.735969572704|2.46;0201MeanDecodingIntensity:506.03;0201MeanDecodingIntensity_488:148.62;0201MeanDecodingIntensity_647:103.78;0201MeanDecodingIntensity_700:506.03;0201MeanDecodingIntensity_750:65.88;0201ReflectiveIntensity:13199.63;0201ReflectiveIntensityStdDev:632.767;0201SealTimeEstimate:18.7;2001_DecodingIntensityStdDev_577F1:66.121;2001_DecodingIntensityStdDev_577F2:136.222;2001_MeanDecodingIntensity_577F1:437.14;2001_MeanDecodingIntensity_577F2:452.27;2001AEB:00.0444;2001DecodingIntensityStdDev:256.767;2001DecodingIntensityStdDev_488:52.147;2001DecodingIntensityStdDev_647:8.934;2001DecodingIntensityStdDev_700:7.027;2001DecodingIntensityStdDev_750:256.767;2001F_on:0.0435;2001FillPercent:010.56;2001KineticInconsistentLower:0;2001KineticInconsistentMetadata:-614.232816199851|2.47;2001MeanDecodingIntensity:948.50;2001MeanDecodingIntensity_488:148.57;2001MeanDecodingIntensity_647:38.51;2001MeanDecodingIntensity_700:34.92;2001MeanDecodingIntensity_750:948.50;2001ReflectiveIntensity:13177.96;2001ReflectiveIntensityStdDev:617.252;2001SealTimeEstimate:18.6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12.96;Empties488F1MeanIntensity:68.92;Empties577F1IntensityStdDev:20.61;Empties577F1MeanIntensity:371.54;Empties577F2IntensityStdDev:28.57;Empties577F2MeanIntensity:370.16;Empties647F1IntensityStdDev:4.50;Empties647F1MeanIntensity:31.45;Empties700F1IntensityStdDev:4.62;Empties700F1MeanIntensity:29.50;Empties750F1IntensityStdDev:5.57;Empties750F1MeanIntensity:33.85;EmptiesIGrowth:406.46;EmptiesReflectiveIntensityStdDev:332.58;EmptiesReflectiveMeanIntensity:11862.35;Errors:;F2minusF1Shift:0.0;FluorescenceClassification:Normal;Focus_FracImageLost:0.00;FocusScoresAvg:3.53;FocusScoresImageCenter:4.78;FocusScoresMax:5.03;FocusScoresMedian:3.59;FractionImageDebris:0.0948;FractionWellsDebris:0.1050;ImageQualityScoreIfUnpegged:1.00;IndexingWellsMissingFromFov:0;IndexingWellsTotalLostBothVisibleAndMissing:0;IndexingWellsVisibleInFovButRemoved:0;L1DR time (ms):29043;NetBeadFillRate:32.55;NormalizedFillPercentage:046.39;Notes:Xtalk: usable out of spec wv 577 sr 4 dir 5 value 0.041. | Xtalk: usable out of spec wv 577 sr 8 dir 5 value 0.043.;NumberDecSaturated:0;NumberEmpties:63073;NumberFlagged_DeadPixels:77.0000;NumberFlagged_Debris:20200.0000;NumberFlagged_MissingNeighbor:2910.0000;NumberFlagged_NeighborSaturated:06.0000;NumberFlagged_OddlyRecurrentClassification:194.0000;NumberFlagged_OutOfBounds:4106.0000;NumberFlagged_SaturatedPixelResorufinTwo:01.0000;NumberInvalidWells:24694;NumberPositiveEmpties:41;NumberPositives:10310;NumberResSaturated:1;NumberSaturatedWithoutDebris:0;NumberValidUnclassified:50041.00;NumberValidWells:167701;OddlyAggregatedFlag:2;OddlyAggregatedLocations:;OddlyAggregatedWorst:0;OffsetW488:( 0, 0 );OffsetW577:( 0, 0 );OffsetW647:( 0, 0 );OffsetW700:( 0, 0 );OffsetW750:( 0, -1 );ResorufinUnsaturated:0;ResorufinUnsaturatedMutated:0;ResorufinUnsaturaterNumberInFit:199;SaturatedDecodingWells:0;SuspiciousWells:23394;SuspiciousWellsFlagged:1;SuspiciousWellsLowerThreshold:6;Warnings:;WhiteLightChannelMedian:9988;XtalkSubregionsOutOfSpec:0</t>
  </si>
  <si>
    <t>0002_DecodingIntensityStdDev_577F1:87.384;0002_DecodingIntensityStdDev_577F2:191.217;0002_MeanDecodingIntensity_577F1:430.46;0002_MeanDecodingIntensity_577F2:473.84;0002AEB:00.2074;0002DecodingIntensityStdDev:344.869;0002DecodingIntensityStdDev_488:344.869;0002DecodingIntensityStdDev_647:4.882;0002DecodingIntensityStdDev_700:5.054;0002DecodingIntensityStdDev_750:5.890;0002F_on:0.1873;0002FillPercent:013.55;0002KineticInconsistentLower:0;0002KineticInconsistentMetadata:-531.104031503531|2.4;0002MeanDecodingIntensity:1583.38;0002MeanDecodingIntensity_488:1583.38;0002MeanDecodingIntensity_647:34.64;0002MeanDecodingIntensity_700:30.12;0002MeanDecodingIntensity_750:34.67;0002ReflectiveIntensity:13345.12;0002ReflectiveIntensityStdDev:621.054;0002SealTimeEstimate:19.5;0021_DecodingIntensityStdDev_577F1:57.530;0021_DecodingIntensityStdDev_577F2:125.173;0021_MeanDecodingIntensity_577F1:403.67;0021_MeanDecodingIntensity_577F2:418.36;0021AEB:00.0446;0021DecodingIntensityStdDev:86.343;0021DecodingIntensityStdDev_488:23.032;0021DecodingIntensityStdDev_647:86.343;0021DecodingIntensityStdDev_700:10.208;0021DecodingIntensityStdDev_750:6.399;0021F_on:0.0436;0021FillPercent:008.01;0021KineticInconsistentLower:0;0021KineticInconsistentMetadata:-543.178623985789|2.44;0021MeanDecodingIntensity:421.18;0021MeanDecodingIntensity_488:137.76;0021MeanDecodingIntensity_647:421.18;0021MeanDecodingIntensity_700:68.19;0021MeanDecodingIntensity_750:34.97;0021ReflectiveIntensity:13119.40;0021ReflectiveIntensityStdDev:533.623;0021SealTimeEstimate:19.0;0201_DecodingIntensityStdDev_577F1:57.235;0201_DecodingIntensityStdDev_577F2:120.814;0201_MeanDecodingIntensity_577F1:403.47;0201_MeanDecodingIntensity_577F2:417.84;0201AEB:00.0452;0201DecodingIntensityStdDev:128.637;0201DecodingIntensityStdDev_488:36.178;0201DecodingIntensityStdDev_647:34.195;0201DecodingIntensityStdDev_700:128.637;0201DecodingIntensityStdDev_750:13.487;0201F_on:0.0442;0201FillPercent:009.64;0201KineticInconsistentLower:0;0201KineticInconsistentMetadata:-579.215128548633|2.5;0201MeanDecodingIntensity:496.42;0201MeanDecodingIntensity_488:142.31;0201MeanDecodingIntensity_647:101.85;0201MeanDecodingIntensity_700:496.42;0201MeanDecodingIntensity_750:64.98;0201ReflectiveIntensity:13214.90;0201ReflectiveIntensityStdDev:605.452;0201SealTimeEstimate:18.2;2001_DecodingIntensityStdDev_577F1:73.320;2001_DecodingIntensityStdDev_577F2:153.887;2001_MeanDecodingIntensity_577F1:434.90;2001_MeanDecodingIntensity_577F2:451.84;2001AEB:00.0509;2001DecodingIntensityStdDev:241.740;2001DecodingIntensityStdDev_488:44.502;2001DecodingIntensityStdDev_647:8.689;2001DecodingIntensityStdDev_700:6.488;2001DecodingIntensityStdDev_750:241.740;2001F_on:0.0496;2001FillPercent:009.28;2001KineticInconsistentLower:0;2001KineticInconsistentMetadata:-614.536973924582|2.48;2001MeanDecodingIntensity:938.71;2001MeanDecodingIntensity_488:142.00;2001MeanDecodingIntensity_647:38.15;2001MeanDecodingIntensity_700:34.36;2001MeanDecodingIntensity_750:938.71;2001ReflectiveIntensity:13180.38;2001ReflectiveIntensityStdDev:577.556;2001SealTimeEstimate:18.4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11.57;Empties488F1MeanIntensity:65.44;Empties577F1IntensityStdDev:19.03;Empties577F1MeanIntensity:367.00;Empties577F2IntensityStdDev:23.16;Empties577F2MeanIntensity:365.20;Empties647F1IntensityStdDev:4.34;Empties647F1MeanIntensity:31.27;Empties700F1IntensityStdDev:4.34;Empties700F1MeanIntensity:29.25;Empties750F1IntensityStdDev:5.24;Empties750F1MeanIntensity:33.53;EmptiesIGrowth:257.80;EmptiesReflectiveIntensityStdDev:339.62;EmptiesReflectiveMeanIntensity:11845.25;Errors:;F2minusF1Shift:-0.9;FluorescenceClassification:Normal;Focus_FracImageLost:0.00;FocusScoresAvg:3.60;FocusScoresImageCenter:4.90;FocusScoresMax:5.22;FocusScoresMedian:3.67;FractionImageDebris:0.1021;FractionWellsDebris:0.1106;ImageQualityScoreIfUnpegged:1.00;IndexingWellsMissingFromFov:0;IndexingWellsTotalLostBothVisibleAndMissing:0;IndexingWellsVisibleInFovButRemoved:0;L1DR time (ms):28806;NetBeadFillRate:28.42;NormalizedFillPercentage:040.48;Notes:Xtalk: usable out of spec wv 577 sr 4 dir 5 value 0.036. | Xtalk: usable out of spec wv 577 sr 8 dir 5 value 0.036.;NumberDecSaturated:0;NumberEmpties:69676;NumberFlagged_DeadPixels:82.0000;NumberFlagged_Debris:21281.0000;NumberFlagged_MissingNeighbor:3177.0000;NumberFlagged_NeighborSaturated:18.0000;NumberFlagged_OutOfBounds:4217.0000;NumberFlagged_SaturatedPixelResorufinTwo:03.0000;NumberInvalidWells:25716;NumberPositiveEmpties:41;NumberPositives:9701;NumberResSaturated:3;NumberSaturatedWithoutDebris:2;NumberValidUnclassified:49684.00;NumberValidWells:166742;OddlyAggregatedFlag:2;OddlyAggregatedLocations:;OddlyAggregatedWorst:0;OffsetW488:( 0, 0 );OffsetW577:( 0, 0 );OffsetW647:( 0, 0 );OffsetW700:( 0, 0 );OffsetW750:( 0, -1 );ResorufinUnsaturated:0;ResorufinUnsaturatedMutated:0;ResorufinUnsaturaterNumberInFit:167;SaturatedDecodingWells:1;SuspiciousWells:21603;SuspiciousWellsFlagged:1;SuspiciousWellsLowerThreshold:6;Warnings:;WhiteLightChannelMedian:9856;XtalkSubregionsOutOfSpec:0</t>
  </si>
  <si>
    <t>0002_DecodingIntensityStdDev_577F1:62.330;0002_DecodingIntensityStdDev_577F2:168.062;0002_MeanDecodingIntensity_577F1:424.82;0002_MeanDecodingIntensity_577F2:467.44;0002AEB:00.1995;0002DecodingIntensityStdDev:355.285;0002DecodingIntensityStdDev_488:355.285;0002DecodingIntensityStdDev_647:5.202;0002DecodingIntensityStdDev_700:5.329;0002DecodingIntensityStdDev_750:6.767;0002F_on:0.1808;0002FillPercent:016.76;0002KineticInconsistentLower:0;0002KineticInconsistentMetadata:-778.503887625001|3.02;0002MeanDecodingIntensity:1511.47;0002MeanDecodingIntensity_488:1511.47;0002MeanDecodingIntensity_647:34.79;0002MeanDecodingIntensity_700:30.48;0002MeanDecodingIntensity_750:35.71;0002ReflectiveIntensity:13380.76;0002ReflectiveIntensityStdDev:645.078;0002SealTimeEstimate:13.4;0021_DecodingIntensityStdDev_577F1:44.116;0021_DecodingIntensityStdDev_577F2:112.951;0021_MeanDecodingIntensity_577F1:404.53;0021_MeanDecodingIntensity_577F2:418.04;0021AEB:00.0429;0021DecodingIntensityStdDev:84.828;0021DecodingIntensityStdDev_488:25.705;0021DecodingIntensityStdDev_647:84.828;0021DecodingIntensityStdDev_700:10.262;0021DecodingIntensityStdDev_750:7.102;0021F_on:0.0420;0021FillPercent:010.01;0021KineticInconsistentLower:0;0021KineticInconsistentMetadata:-813.033588581441|3.1;0021MeanDecodingIntensity:402.44;0021MeanDecodingIntensity_488:139.48;0021MeanDecodingIntensity_647:402.44;0021MeanDecodingIntensity_700:66.40;0021MeanDecodingIntensity_750:35.84;0021ReflectiveIntensity:13153.86;0021ReflectiveIntensityStdDev:562.183;0021SealTimeEstimate:12.9;0201_DecodingIntensityStdDev_577F1:46.847;0201_DecodingIntensityStdDev_577F2:119.003;0201_MeanDecodingIntensity_577F1:404.89;0201_MeanDecodingIntensity_577F2:418.66;0201AEB:00.0416;0201DecodingIntensityStdDev:128.868;0201DecodingIntensityStdDev_488:32.244;0201DecodingIntensityStdDev_647:28.032;0201DecodingIntensityStdDev_700:128.868;0201DecodingIntensityStdDev_750:12.710;0201F_on:0.0407;0201FillPercent:011.76;0201KineticInconsistentLower:0;0201KineticInconsistentMetadata:-835.102463545029|3.13;0201MeanDecodingIntensity:474.78;0201MeanDecodingIntensity_488:143.16;0201MeanDecodingIntensity_647:98.48;0201MeanDecodingIntensity_700:474.78;0201MeanDecodingIntensity_750:65.01;0201ReflectiveIntensity:13230.21;0201ReflectiveIntensityStdDev:607.744;0201SealTimeEstimate:12.7;2001_DecodingIntensityStdDev_577F1:45.262;2001_DecodingIntensityStdDev_577F2:105.867;2001_MeanDecodingIntensity_577F1:433.12;2001_MeanDecodingIntensity_577F2:446.52;2001AEB:00.0448;2001DecodingIntensityStdDev:247.865;2001DecodingIntensityStdDev_488:32.536;2001DecodingIntensityStdDev_647:6.143;2001DecodingIntensityStdDev_700:6.457;2001DecodingIntensityStdDev_750:247.865;2001F_on:0.0438;2001FillPercent:011.24;2001KineticInconsistentLower:0;2001KineticInconsistentMetadata:-857.294332475839|3.07;2001MeanDecodingIntensity:916.13;2001MeanDecodingIntensity_488:142.61;2001MeanDecodingIntensity_647:37.98;2001MeanDecodingIntensity_700:34.59;2001MeanDecodingIntensity_750:916.13;2001ReflectiveIntensity:13217.05;2001ReflectiveIntensityStdDev:610.594;2001SealTimeEstimate:13.0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13.40;Empties488F1MeanIntensity:68.71;Empties577F1IntensityStdDev:21.79;Empties577F1MeanIntensity:372.52;Empties577F2IntensityStdDev:33.85;Empties577F2MeanIntensity:370.30;Empties647F1IntensityStdDev:4.59;Empties647F1MeanIntensity:31.45;Empties700F1IntensityStdDev:4.62;Empties700F1MeanIntensity:29.49;Empties750F1IntensityStdDev:5.71;Empties750F1MeanIntensity:34.11;EmptiesIGrowth:428.92;EmptiesReflectiveIntensityStdDev:383.35;EmptiesReflectiveMeanIntensity:11990.30;Errors:;F2minusF1Shift:-0.1;FluorescenceClassification:Normal;Focus_FracImageLost:0.00;FocusScoresAvg:3.67;FocusScoresImageCenter:4.82;FocusScoresMax:5.23;FocusScoresMedian:3.72;FractionImageDebris:0.0819;FractionWellsDebris:0.0906;ImageQualityScoreIfUnpegged:1.00;IndexingWellsMissingFromFov:0;IndexingWellsTotalLostBothVisibleAndMissing:0;IndexingWellsVisibleInFovButRemoved:0;L1DR time (ms):28251;NetBeadFillRate:34.91;NormalizedFillPercentage:049.77;Notes:Xtalk: usable out of spec wv 577 sr 4 dir 5 value 0.043. | Xtalk: usable out of spec wv 577 sr 8 dir 5 value 0.046. | Xtalk: usable out of spec wv 577 sr 9 dir 5 value 0.038. | Xtalk: usable out of spec wv 488 sr 4 dir 5 value 0.036.;NumberDecSaturated:0;NumberEmpties:60086;NumberFlagged_DeadPixels:72.0000;NumberFlagged_Debris:17393.0000;NumberFlagged_MissingNeighbor:3196.0000;NumberFlagged_OddlyRecurrentClassification:1166.0000;NumberFlagged_OutOfBounds:4116.0000;NumberInvalidWells:21495;NumberPositiveEmpties:80;NumberPositives:11117;NumberResSaturated:0;NumberSaturatedWithoutDebris:0;NumberValidUnclassified:50944.00;NumberValidWells:170576;OddlyAggregatedFlag:2;OddlyAggregatedLocations:;OddlyAggregatedWorst:0;OffsetW488:( 0, 0 );OffsetW577:( 0, 0 );OffsetW647:( 0, 0 );OffsetW700:( 0, -1 );OffsetW750:( 0, -1 );ResorufinUnsaturated:0;ResorufinUnsaturatedMutated:0;ResorufinUnsaturaterNumberInFit:53;SaturatedDecodingWells:1;SuspiciousWells:23557;SuspiciousWellsFlagged:1;SuspiciousWellsLowerThreshold:6;Warnings:;WhiteLightChannelMedian:9987;XtalkSubregionsOutOfSpec:0</t>
  </si>
  <si>
    <t>spikein-1-4-2</t>
  </si>
  <si>
    <t>Plate 2 - Well B5</t>
  </si>
  <si>
    <t>0002_DecodingIntensityStdDev_577F1:94.428;0002_DecodingIntensityStdDev_577F2:209.431;0002_MeanDecodingIntensity_577F1:439.20;0002_MeanDecodingIntensity_577F2:488.39;0002AEB:00.2214;0002DecodingIntensityStdDev:352.142;0002DecodingIntensityStdDev_488:352.142;0002DecodingIntensityStdDev_647:4.970;0002DecodingIntensityStdDev_700:4.845;0002DecodingIntensityStdDev_750:6.131;0002F_on:0.1986;0002FillPercent:013.78;0002KineticInconsistentLower:0;0002KineticInconsistentMetadata:-563.388720604162|2.44;0002MeanDecodingIntensity:1635.12;0002MeanDecodingIntensity_488:1635.12;0002MeanDecodingIntensity_647:35.06;0002MeanDecodingIntensity_700:30.34;0002MeanDecodingIntensity_750:35.10;0002ReflectiveIntensity:13482.92;0002ReflectiveIntensityStdDev:593.694;0002SealTimeEstimate:19.0;0021_DecodingIntensityStdDev_577F1:64.012;0021_DecodingIntensityStdDev_577F2:139.735;0021_MeanDecodingIntensity_577F1:409.46;0021_MeanDecodingIntensity_577F2:426.81;0021AEB:00.0537;0021DecodingIntensityStdDev:86.420;0021DecodingIntensityStdDev_488:23.460;0021DecodingIntensityStdDev_647:86.420;0021DecodingIntensityStdDev_700:10.397;0021DecodingIntensityStdDev_750:6.644;0021F_on:0.0523;0021FillPercent:007.77;0021KineticInconsistentLower:0;0021KineticInconsistentMetadata:-571.288273519786|2.47;0021MeanDecodingIntensity:440.88;0021MeanDecodingIntensity_488:143.63;0021MeanDecodingIntensity_647:440.88;0021MeanDecodingIntensity_700:70.24;0021MeanDecodingIntensity_750:35.46;0021ReflectiveIntensity:13265.33;0021ReflectiveIntensityStdDev:521.453;0021SealTimeEstimate:18.6;0201_DecodingIntensityStdDev_577F1:74.446;0201_DecodingIntensityStdDev_577F2:160.891;0201_MeanDecodingIntensity_577F1:411.12;0201_MeanDecodingIntensity_577F2:430.12;0201AEB:00.0581;0201DecodingIntensityStdDev:137.505;0201DecodingIntensityStdDev_488:30.459;0201DecodingIntensityStdDev_647:32.753;0201DecodingIntensityStdDev_700:137.505;0201DecodingIntensityStdDev_750:12.878;0201F_on:0.0565;0201FillPercent:009.56;0201KineticInconsistentLower:0;0201KineticInconsistentMetadata:-572.225239298042|2.46;0201MeanDecodingIntensity:519.01;0201MeanDecodingIntensity_488:147.87;0201MeanDecodingIntensity_647:105.51;0201MeanDecodingIntensity_700:519.01;0201MeanDecodingIntensity_750:66.98;0201ReflectiveIntensity:13362.92;0201ReflectiveIntensityStdDev:583.986;0201SealTimeEstimate:18.7;2001_DecodingIntensityStdDev_577F1:73.016;2001_DecodingIntensityStdDev_577F2:157.541;2001_MeanDecodingIntensity_577F1:441.85;2001_MeanDecodingIntensity_577F2:460.95;2001AEB:00.0567;2001DecodingIntensityStdDev:248.648;2001DecodingIntensityStdDev_488:29.108;2001DecodingIntensityStdDev_647:6.011;2001DecodingIntensityStdDev_700:6.122;2001DecodingIntensityStdDev_750:248.648;2001F_on:0.0551;2001FillPercent:008.91;2001KineticInconsistentLower:0;2001KineticInconsistentMetadata:-614.240079260096|2.46;2001MeanDecodingIntensity:986.28;2001MeanDecodingIntensity_488:146.69;2001MeanDecodingIntensity_647:38.65;2001MeanDecodingIntensity_700:34.81;2001MeanDecodingIntensity_750:986.28;2001ReflectiveIntensity:13328.58;2001ReflectiveIntensityStdDev:571.237;2001SealTimeEstimate:18.7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11.98;Empties488F1MeanIntensity:67.95;Empties577F1IntensityStdDev:20.02;Empties577F1MeanIntensity:371.35;Empties577F2IntensityStdDev:28.75;Empties577F2MeanIntensity:369.81;Empties647F1IntensityStdDev:4.44;Empties647F1MeanIntensity:31.53;Empties700F1IntensityStdDev:4.32;Empties700F1MeanIntensity:29.28;Empties750F1IntensityStdDev:5.25;Empties750F1MeanIntensity:33.70;EmptiesIGrowth:395.80;EmptiesReflectiveIntensityStdDev:335.54;EmptiesReflectiveMeanIntensity:12015.14;Errors:;F2minusF1Shift:-1.0;FittedF2OverF1Intercept:-555.489808199304;FittedF2OverF1Slope:2.22014203153005;FluorescenceClassification:Normal;Focus_FracImageLost:0.00;FocusScoresAvg:3.72;FocusScoresImageCenter:4.87;FocusScoresMax:5.25;FocusScoresMedian:3.75;FractionImageDebris:0.0961;FractionWellsDebris:0.1050;ImageQualityScoreIfUnpegged:0.60;IndexingWellsMissingFromFov:0;IndexingWellsTotalLostBothVisibleAndMissing:0;IndexingWellsVisibleInFovButRemoved:0;L1DR time (ms):25885;NetBeadFillRate:28.10;NormalizedFillPercentage:040.01;Notes:Xtalk: usable out of spec wv 577 sr 4 dir 5 value 0.041. | Xtalk: usable out of spec wv 577 sr 9 dir 5 value 0.041. | Xtalk: usable out of spec wv 700 sr 8 dir 5 value 0.036. | Xtalk: usable out of spec wv 647 sr 8 dir 5 value 0.036. | Xtalk: usable out of spec wv 488 sr 8 dir 5 value 0.036.;NumberDecSaturated:0;NumberEmpties:64324;NumberFlagged_DeadPixels:75.0000;NumberFlagged_Debris:20196.0000;NumberFlagged_MissingNeighbor:3620.0000;NumberFlagged_NeighborSaturated:12.0000;NumberFlagged_OddlyRecurrentClassification:1399.0000;NumberFlagged_OutOfBounds:4180.0000;NumberFlagged_OutOfSpecXtalk:15816.0000;NumberFlagged_SaturatedPixelResorufinTwo:02.0000;NumberFlagged_SaturationRemoverSuspiciousF1:01.0000;NumberInvalidWells:39550;NumberPositiveEmpties:48;NumberPositives:10541;NumberResSaturated:2;NumberSaturatedWithoutDebris:1;NumberValidUnclassified:45484.00;NumberValidWells:152715;OddlyAggregatedFlag:2;OddlyAggregatedLocations:;OddlyAggregatedWorst:0;OffsetW488:( 0, 0 );OffsetW577:( 0, 0 );OffsetW647:( 0, 0 );OffsetW700:( 0, -1 );OffsetW750:( 0, -1 );ResorufinUnsaturated:1;ResorufinUnsaturatedMutated:1;ResorufinUnsaturatedSuspiciousF1:1;ResorufinUnsaturaterNumberInFit:231;SaturatedDecodingWells:0;SuspiciousWells:21035;SuspiciousWellsFlagged:1;SuspiciousWellsLowerThreshold:6;Warnings:Xtalk: unusable out of spec wv 577 sr 8 dir 5 value 0.053.;WhiteLightChannelMedian:9860;XtalkSubregionsOutOfSpec:1</t>
  </si>
  <si>
    <t>0002_DecodingIntensityStdDev_577F1:93.240;0002_DecodingIntensityStdDev_577F2:206.775;0002_MeanDecodingIntensity_577F1:433.22;0002_MeanDecodingIntensity_577F2:482.68;0002AEB:00.2308;0002DecodingIntensityStdDev:358.593;0002DecodingIntensityStdDev_488:358.593;0002DecodingIntensityStdDev_647:5.360;0002DecodingIntensityStdDev_700:5.326;0002DecodingIntensityStdDev_750:6.777;0002F_on:0.2061;0002FillPercent:015.50;0002KineticInconsistentLower:0;0002KineticInconsistentMetadata:-555.50204541375|2.45;0002MeanDecodingIntensity:1560.25;0002MeanDecodingIntensity_488:1560.25;0002MeanDecodingIntensity_647:35.05;0002MeanDecodingIntensity_700:30.49;0002MeanDecodingIntensity_750:35.51;0002ReflectiveIntensity:13456.53;0002ReflectiveIntensityStdDev:648.048;0002SealTimeEstimate:18.8;0021_DecodingIntensityStdDev_577F1:68.830;0021_DecodingIntensityStdDev_577F2:151.110;0021_MeanDecodingIntensity_577F1:405.51;0021_MeanDecodingIntensity_577F2:424.91;0021AEB:00.0589;0021DecodingIntensityStdDev:96.504;0021DecodingIntensityStdDev_488:27.196;0021DecodingIntensityStdDev_647:96.504;0021DecodingIntensityStdDev_700:11.639;0021DecodingIntensityStdDev_750:7.765;0021F_on:0.0572;0021FillPercent:009.02;0021KineticInconsistentLower:0;0021KineticInconsistentMetadata:-570.361458134146|2.49;0021MeanDecodingIntensity:417.22;0021MeanDecodingIntensity_488:140.30;0021MeanDecodingIntensity_647:417.22;0021MeanDecodingIntensity_700:68.32;0021MeanDecodingIntensity_750:35.95;0021ReflectiveIntensity:13251.39;0021ReflectiveIntensityStdDev:566.726;0021SealTimeEstimate:18.3;0201_DecodingIntensityStdDev_577F1:71.444;0201_DecodingIntensityStdDev_577F2:153.082;0201_MeanDecodingIntensity_577F1:409.91;0201_MeanDecodingIntensity_577F2:430.91;0201AEB:00.0667;0201DecodingIntensityStdDev:147.202;0201DecodingIntensityStdDev_488:68.714;0201DecodingIntensityStdDev_647:68.566;0201DecodingIntensityStdDev_700:147.202;0201DecodingIntensityStdDev_750:22.185;0201F_on:0.0645;0201FillPercent:011.73;0201KineticInconsistentLower:0;0201KineticInconsistentMetadata:-588.273561215664|2.5;0201MeanDecodingIntensity:497.47;0201MeanDecodingIntensity_488:153.59;0201MeanDecodingIntensity_647:116.25;0201MeanDecodingIntensity_700:497.47;0201MeanDecodingIntensity_750:67.43;0201ReflectiveIntensity:13425.26;0201ReflectiveIntensityStdDev:683.397;0201SealTimeEstimate:18.2;2001_DecodingIntensityStdDev_577F1:72.288;2001_DecodingIntensityStdDev_577F2:152.364;2001_MeanDecodingIntensity_577F1:438.33;2001_MeanDecodingIntensity_577F2:459.70;2001AEB:00.0704;2001DecodingIntensityStdDev:294.059;2001DecodingIntensityStdDev_488:110.083;2001DecodingIntensityStdDev_647:20.898;2001DecodingIntensityStdDev_700:12.186;2001DecodingIntensityStdDev_750:294.059;2001F_on:0.0680;2001FillPercent:010.78;2001KineticInconsistentLower:0;2001KineticInconsistentMetadata:-626.483698033223|2.5;2001MeanDecodingIntensity:931.40;2001MeanDecodingIntensity_488:161.61;2001MeanDecodingIntensity_647:41.01;2001MeanDecodingIntensity_700:36.03;2001MeanDecodingIntensity_750:931.40;2001ReflectiveIntensity:13377.47;2001ReflectiveIntensityStdDev:669.648;2001SealTimeEstimate:18.2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12.36;Empties488F1MeanIntensity:66.19;Empties577F1IntensityStdDev:22.02;Empties577F1MeanIntensity:366.13;Empties577F2IntensityStdDev:33.73;Empties577F2MeanIntensity:365.43;Empties647F1IntensityStdDev:4.54;Empties647F1MeanIntensity:31.29;Empties700F1IntensityStdDev:4.57;Empties700F1MeanIntensity:29.27;Empties750F1IntensityStdDev:5.47;Empties750F1MeanIntensity:33.54;EmptiesIGrowth:495.42;EmptiesReflectiveIntensityStdDev:373.06;EmptiesReflectiveMeanIntensity:12032.53;Errors:;F2minusF1Shift:-0.8;FittedF2OverF1Intercept:-515.7603855751;FittedF2OverF1Slope:2.21225749113598;FluorescenceClassification:Normal;Focus_FracImageLost:0.00;FocusScoresAvg:3.81;FocusScoresImageCenter:4.93;FocusScoresMax:5.38;FocusScoresMedian:3.86;FractionImageDebris:0.0737;FractionWellsDebris:0.0824;ImageQualityScoreIfUnpegged:1.00;IndexingWellsMissingFromFov:0;IndexingWellsTotalLostBothVisibleAndMissing:0;IndexingWellsVisibleInFovButRemoved:0;L1DR time (ms):27980;NetBeadFillRate:32.99;NormalizedFillPercentage:047.03;Notes:Xtalk: usable out of spec wv 577 sr 4 dir 5 value 0.043. | Xtalk: usable out of spec wv 577 sr 8 dir 5 value 0.046. | Xtalk: usable out of spec wv 577 sr 9 dir 5 value 0.041.;NumberDecSaturated:0;NumberEmpties:63305;NumberFlagged_DeadPixels:79.0000;NumberFlagged_Debris:15817.0000;NumberFlagged_MissingNeighbor:4550.0000;NumberFlagged_NeighborSaturated:06.0000;NumberFlagged_OddlyRecurrentClassification:202.0000;NumberFlagged_OutOfBounds:4146.0000;NumberFlagged_SaturatedPixelResorufinTwo:01.0000;NumberFlagged_SaturationRemoverSuspiciousF1:01.0000;NumberInvalidWells:21570;NumberPositiveEmpties:46;NumberPositives:14426;NumberResSaturated:1;NumberSaturatedWithoutDebris:0;NumberValidUnclassified:50862.00;NumberValidWells:170368;OddlyAggregatedFlag:2;OddlyAggregatedLocations:;OddlyAggregatedWorst:0;OffsetW488:( 0, 0 );OffsetW577:( 0, 0 );OffsetW647:( 0, 0 );OffsetW700:( 0, -1 );OffsetW750:( 0, -1 );ResorufinUnsaturated:1;ResorufinUnsaturatedMutated:1;ResorufinUnsaturatedSuspiciousF1:1;ResorufinUnsaturaterNumberInFit:223;SaturatedDecodingWells:0;SuspiciousWells:21794;SuspiciousWellsFlagged:1;SuspiciousWellsLowerThreshold:7;Warnings:;WhiteLightChannelMedian:9928;XtalkSubregionsOutOfSpec:0</t>
  </si>
  <si>
    <t>0002_DecodingIntensityStdDev_577F1:96.087;0002_DecodingIntensityStdDev_577F2:207.218;0002_MeanDecodingIntensity_577F1:431.46;0002_MeanDecodingIntensity_577F2:478.37;0002AEB:00.2221;0002DecodingIntensityStdDev:351.149;0002DecodingIntensityStdDev_488:351.149;0002DecodingIntensityStdDev_647:5.169;0002DecodingIntensityStdDev_700:5.137;0002DecodingIntensityStdDev_750:6.567;0002F_on:0.1992;0002FillPercent:015.45;0002KineticInconsistentLower:0;0002KineticInconsistentMetadata:-517.269736105744|2.36;0002MeanDecodingIntensity:1669.03;0002MeanDecodingIntensity_488:1669.03;0002MeanDecodingIntensity_647:35.67;0002MeanDecodingIntensity_700:30.83;0002MeanDecodingIntensity_750:35.94;0002ReflectiveIntensity:13689.30;0002ReflectiveIntensityStdDev:620.291;0002SealTimeEstimate:20.1;0021_DecodingIntensityStdDev_577F1:62.589;0021_DecodingIntensityStdDev_577F2:132.494;0021_MeanDecodingIntensity_577F1:401.28;0021_MeanDecodingIntensity_577F2:417.77;0021AEB:00.0553;0021DecodingIntensityStdDev:90.058;0021DecodingIntensityStdDev_488:25.353;0021DecodingIntensityStdDev_647:90.058;0021DecodingIntensityStdDev_700:10.985;0021DecodingIntensityStdDev_750:7.210;0021F_on:0.0538;0021FillPercent:009.19;0021KineticInconsistentLower:0;0021KineticInconsistentMetadata:-520.319988585576|2.38;0021MeanDecodingIntensity:454.24;0021MeanDecodingIntensity_488:152.42;0021MeanDecodingIntensity_647:454.24;0021MeanDecodingIntensity_700:73.05;0021MeanDecodingIntensity_750:36.27;0021ReflectiveIntensity:13479.55;0021ReflectiveIntensityStdDev:571.709;0021SealTimeEstimate:19.8;0201_DecodingIntensityStdDev_577F1:73.828;0201_DecodingIntensityStdDev_577F2:151.584;0201_MeanDecodingIntensity_577F1:401.91;0201_MeanDecodingIntensity_577F2:418.52;0201AEB:00.0559;0201DecodingIntensityStdDev:135.458;0201DecodingIntensityStdDev_488:40.313;0201DecodingIntensityStdDev_647:36.709;0201DecodingIntensityStdDev_700:135.458;0201DecodingIntensityStdDev_750:14.946;0201F_on:0.0544;0201FillPercent:011.07;0201KineticInconsistentLower:0;0201KineticInconsistentMetadata:-528.005309800957|2.39;0201MeanDecodingIntensity:535.99;0201MeanDecodingIntensity_488:157.37;0201MeanDecodingIntensity_647:106.16;0201MeanDecodingIntensity_700:535.99;0201MeanDecodingIntensity_750:68.13;0201ReflectiveIntensity:13566.97;0201ReflectiveIntensityStdDev:617.139;0201SealTimeEstimate:19.7;2001_DecodingIntensityStdDev_577F1:69.914;2001_DecodingIntensityStdDev_577F2:146.067;2001_MeanDecodingIntensity_577F1:436.14;2001_MeanDecodingIntensity_577F2:454.71;2001AEB:00.0647;2001DecodingIntensityStdDev:260.820;2001DecodingIntensityStdDev_488:33.942;2001DecodingIntensityStdDev_647:6.947;2001DecodingIntensityStdDev_700:6.668;2001DecodingIntensityStdDev_750:260.820;2001F_on:0.0627;2001FillPercent:010.28;2001KineticInconsistentLower:0;2001KineticInconsistentMetadata:-575.676941035727|2.4;2001MeanDecodingIntensity:1033.11;2001MeanDecodingIntensity_488:155.06;2001MeanDecodingIntensity_647:39.41;2001MeanDecodingIntensity_700:35.54;2001MeanDecodingIntensity_750:1033.11;2001ReflectiveIntensity:13534.64;2001ReflectiveIntensityStdDev:603.378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12.91;Empties488F1MeanIntensity:71.58;Empties577F1IntensityStdDev:23.14;Empties577F1MeanIntensity:356.85;Empties577F2IntensityStdDev:30.31;Empties577F2MeanIntensity:356.96;Empties647F1IntensityStdDev:4.50;Empties647F1MeanIntensity:31.76;Empties700F1IntensityStdDev:4.51;Empties700F1MeanIntensity:29.63;Empties750F1IntensityStdDev:5.51;Empties750F1MeanIntensity:34.14;EmptiesIGrowth:426.13;EmptiesReflectiveIntensityStdDev:389.08;EmptiesReflectiveMeanIntensity:12158.23;Errors:;F2minusF1Shift:-1.7;FittedF2OverF1Intercept:-453.159032754335;FittedF2OverF1Slope:2.10837478496404;FluorescenceClassification:Normal;Focus_FracImageLost:0.00;FocusScoresAvg:3.94;FocusScoresImageCenter:4.69;FocusScoresMax:5.34;FocusScoresMedian:4.03;FractionImageDebris:0.0517;FractionWellsDebris:0.0591;ImageQualityScoreIfUnpegged:1.00;IndexingWellsMissingFromFov:0;IndexingWellsTotalLostBothVisibleAndMissing:0;IndexingWellsVisibleInFovButRemoved:0;L1DR time (ms):26836;NetBeadFillRate:32.28;NormalizedFillPercentage:046.00;Notes:Xtalk: usable out of spec wv 577 sr 4 dir 5 value 0.038. | Xtalk: usable out of spec wv 577 sr 8 dir 5 value 0.043.;NumberDecSaturated:0;NumberEmpties:66427;NumberFlagged_DeadPixels:74.0000;NumberFlagged_Debris:11367.0000;NumberFlagged_MissingNeighbor:3955.0000;NumberFlagged_OutOfBounds:4151.0000;NumberInvalidWells:16930;NumberPositiveEmpties:41;NumberPositives:11864;NumberResSaturated:0;NumberSaturatedWithoutDebris:0;NumberValidUnclassified:52290.00;NumberValidWells:175295;OddlyAggregatedFlag:2;OddlyAggregatedLocations:;OddlyAggregatedWorst:0;OffsetW488:( 0, 0 );OffsetW577:( 0, 0 );OffsetW647:( 0, 0 );OffsetW700:( 0, 0 );OffsetW750:( 0, -1 );ResorufinUnsaturated:1;ResorufinUnsaturatedMutated:0;ResorufinUnsaturatedSuspiciousF1:0;ResorufinUnsaturaterNumberInFit:261;SaturatedDecodingWells:0;SuspiciousWells:21398;SuspiciousWellsFlagged:1;SuspiciousWellsLowerThreshold:7;Warnings:;WhiteLightChannelMedian:9997;XtalkSubregionsOutOfSpec:0</t>
  </si>
  <si>
    <t>spikein-1-4-3</t>
  </si>
  <si>
    <t>Plate 2 - Well C5</t>
  </si>
  <si>
    <t>0002_DecodingIntensityStdDev_577F1:88.696;0002_DecodingIntensityStdDev_577F2:192.257;0002_MeanDecodingIntensity_577F1:429.30;0002_MeanDecodingIntensity_577F2:471.42;0002AEB:00.2117;0002DecodingIntensityStdDev:325.804;0002DecodingIntensityStdDev_488:325.804;0002DecodingIntensityStdDev_647:4.781;0002DecodingIntensityStdDev_700:4.651;0002DecodingIntensityStdDev_750:5.821;0002F_on:0.1908;0002FillPercent:013.99;0002KineticInconsistentLower:0;0002KineticInconsistentMetadata:-513.648329890975|2.36;0002MeanDecodingIntensity:1623.76;0002MeanDecodingIntensity_488:1623.76;0002MeanDecodingIntensity_647:34.80;0002MeanDecodingIntensity_700:30.11;0002MeanDecodingIntensity_750:34.90;0002ReflectiveIntensity:13445.51;0002ReflectiveIntensityStdDev:600.198;0002SealTimeEstimate:20.1;0021_DecodingIntensityStdDev_577F1:47.583;0021_DecodingIntensityStdDev_577F2:96.963;0021_MeanDecodingIntensity_577F1:398.98;0021_MeanDecodingIntensity_577F2:408.13;0021AEB:00.0341;0021DecodingIntensityStdDev:78.815;0021DecodingIntensityStdDev_488:21.043;0021DecodingIntensityStdDev_647:78.815;0021DecodingIntensityStdDev_700:9.320;0021DecodingIntensityStdDev_750:5.930;0021F_on:0.0335;0021FillPercent:008.45;0021KineticInconsistentLower:0;0021KineticInconsistentMetadata:-531.793893104965|2.41;0021MeanDecodingIntensity:431.12;0021MeanDecodingIntensity_488:139.30;0021MeanDecodingIntensity_647:431.12;0021MeanDecodingIntensity_700:69.48;0021MeanDecodingIntensity_750:34.81;0021ReflectiveIntensity:13214.99;0021ReflectiveIntensityStdDev:531.904;0021SealTimeEstimate:19.4;0201_DecodingIntensityStdDev_577F1:50.224;0201_DecodingIntensityStdDev_577F2:102.730;0201_MeanDecodingIntensity_577F1:398.03;0201_MeanDecodingIntensity_577F2:407.51;0201AEB:00.0343;0201DecodingIntensityStdDev:101.715;0201DecodingIntensityStdDev_488:23.390;0201DecodingIntensityStdDev_647:15.134;0201DecodingIntensityStdDev_700:101.715;0201DecodingIntensityStdDev_750:9.917;0201F_on:0.0337;0201FillPercent:009.71;0201KineticInconsistentLower:0;0201KineticInconsistentMetadata:-550.21736024461|2.45;0201MeanDecodingIntensity:507.49;0201MeanDecodingIntensity_488:141.40;0201MeanDecodingIntensity_647:99.16;0201MeanDecodingIntensity_700:507.49;0201MeanDecodingIntensity_750:64.88;0201ReflectiveIntensity:13251.69;0201ReflectiveIntensityStdDev:543.190;0201SealTimeEstimate:18.8;2001_DecodingIntensityStdDev_577F1:50.254;2001_DecodingIntensityStdDev_577F2:101.933;2001_MeanDecodingIntensity_577F1:429.85;2001_MeanDecodingIntensity_577F2:439.22;2001AEB:00.0347;2001DecodingIntensityStdDev:209.857;2001DecodingIntensityStdDev_488:23.072;2001DecodingIntensityStdDev_647:5.285;2001DecodingIntensityStdDev_700:5.440;2001DecodingIntensityStdDev_750:209.857;2001F_on:0.0341;2001FillPercent:009.13;2001KineticInconsistentLower:0;2001KineticInconsistentMetadata:-584.286626062488|2.42;2001MeanDecodingIntensity:979.20;2001MeanDecodingIntensity_488:141.16;2001MeanDecodingIntensity_647:38.13;2001MeanDecodingIntensity_700:34.43;2001MeanDecodingIntensity_750:979.20;2001ReflectiveIntensity:13245.54;2001ReflectiveIntensityStdDev:546.642;2001SealTimeEstimate:19.2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11.39;Empties488F1MeanIntensity:65.97;Empties577F1IntensityStdDev:26.14;Empties577F1MeanIntensity:359.18;Empties577F2IntensityStdDev:28.73;Empties577F2MeanIntensity:357.45;Empties647F1IntensityStdDev:4.26;Empties647F1MeanIntensity:31.42;Empties700F1IntensityStdDev:4.23;Empties700F1MeanIntensity:29.27;Empties750F1IntensityStdDev:5.08;Empties750F1MeanIntensity:33.58;EmptiesIGrowth:374.42;EmptiesReflectiveIntensityStdDev:386.09;EmptiesReflectiveMeanIntensity:11964.72;Errors:;F2minusF1Shift:1.1;FluorescenceClassification:Normal;Focus_FracImageLost:0.00;FocusScoresAvg:3.68;FocusScoresImageCenter:4.50;FocusScoresMax:5.28;FocusScoresMedian:3.69;FractionImageDebris:0.0775;FractionWellsDebris:0.0710;ImageQualityScoreIfUnpegged:1.00;IndexingWellsMissingFromFov:1167;IndexingWellsTotalLostBothVisibleAndMissing:3728;IndexingWellsVisibleInFovButRemoved:2561;L1DR time (ms):27289;NetBeadFillRate:28.98;NormalizedFillPercentage:041.27;Notes:Indexing: stripe across bottom | Xtalk: usable out of spec wv 577 sr 4 dir 5 value 0.036. | Xtalk: usable out of spec wv 577 sr 8 dir 5 value 0.036.;NumberDecSaturated:0;NumberEmpties:70879;NumberFlagged_DeadPixels:66.0000;NumberFlagged_Debris:13418.0000;NumberFlagged_MissingNeighbor:2613.0000;NumberFlagged_OutOfBounds:3221.0000;NumberInvalidWells:17029;NumberPositiveEmpties:24;NumberPositives:8315;NumberResSaturated:0;NumberSaturatedWithoutDebris:0;NumberValidUnclassified:51171.00;NumberValidWells:171865;OddlyAggregatedFlag:2;OddlyAggregatedLocations:;OddlyAggregatedWorst:0;OffsetW488:( 0, 0 );OffsetW577:( 0, 0 );OffsetW647:( 0, 0 );OffsetW700:( 0, 0 );OffsetW750:( 0, -1 );ResorufinUnsaturated:0;ResorufinUnsaturatedMutated:0;ResorufinUnsaturaterNumberInFit:123;SaturatedDecodingWells:0;SuspiciousWells:21329;SuspiciousWellsFlagged:1;SuspiciousWellsLowerThreshold:5;Warnings:;WhiteLightChannelMedian:9774;XtalkSubregionsOutOfSpec:0</t>
  </si>
  <si>
    <t>0002_DecodingIntensityStdDev_577F1:96.980;0002_DecodingIntensityStdDev_577F2:208.858;0002_MeanDecodingIntensity_577F1:436.35;0002_MeanDecodingIntensity_577F2:481.78;0002AEB:00.2139;0002DecodingIntensityStdDev:375.606;0002DecodingIntensityStdDev_488:375.606;0002DecodingIntensityStdDev_647:5.282;0002DecodingIntensityStdDev_700:5.276;0002DecodingIntensityStdDev_750:6.524;0002F_on:0.1926;0002FillPercent:015.05;0002KineticInconsistentLower:0;0002KineticInconsistentMetadata:-517.855015328352|2.36;0002MeanDecodingIntensity:1734.16;0002MeanDecodingIntensity_488:1734.16;0002MeanDecodingIntensity_647:35.59;0002MeanDecodingIntensity_700:31.02;0002MeanDecodingIntensity_750:35.70;0002ReflectiveIntensity:13555.48;0002ReflectiveIntensityStdDev:648.143;0002SealTimeEstimate:20.1;0021_DecodingIntensityStdDev_577F1:50.328;0021_DecodingIntensityStdDev_577F2:101.836;0021_MeanDecodingIntensity_577F1:403.24;0021_MeanDecodingIntensity_577F2:413.55;0021AEB:00.0340;0021DecodingIntensityStdDev:86.625;0021DecodingIntensityStdDev_488:25.403;0021DecodingIntensityStdDev_647:86.625;0021DecodingIntensityStdDev_700:10.586;0021DecodingIntensityStdDev_750:6.960;0021F_on:0.0335;0021FillPercent:009.31;0021KineticInconsistentLower:0;0021KineticInconsistentMetadata:-528.211973920296|2.39;0021MeanDecodingIntensity:446.86;0021MeanDecodingIntensity_488:150.81;0021MeanDecodingIntensity_647:446.86;0021MeanDecodingIntensity_700:71.92;0021MeanDecodingIntensity_750:36.07;0021ReflectiveIntensity:13305.88;0021ReflectiveIntensityStdDev:572.420;0021SealTimeEstimate:19.7;0201_DecodingIntensityStdDev_577F1:63.986;0201_DecodingIntensityStdDev_577F2:130.600;0201_MeanDecodingIntensity_577F1:404.07;0201_MeanDecodingIntensity_577F2:414.93;0201AEB:00.0337;0201DecodingIntensityStdDev:135.271;0201DecodingIntensityStdDev_488:32.312;0201DecodingIntensityStdDev_647:34.158;0201DecodingIntensityStdDev_700:135.271;0201DecodingIntensityStdDev_750:13.135;0201F_on:0.0332;0201FillPercent:011.29;0201KineticInconsistentLower:0;0201KineticInconsistentMetadata:-519.827954600378|2.38;0201MeanDecodingIntensity:532.95;0201MeanDecodingIntensity_488:155.07;0201MeanDecodingIntensity_647:106.52;0201MeanDecodingIntensity_700:532.95;0201MeanDecodingIntensity_750:68.09;0201ReflectiveIntensity:13409.22;0201ReflectiveIntensityStdDev:629.622;0201SealTimeEstimate:19.8;2001_DecodingIntensityStdDev_577F1:50.738;2001_DecodingIntensityStdDev_577F2:99.845;2001_MeanDecodingIntensity_577F1:434.09;2001_MeanDecodingIntensity_577F2:444.27;2001AEB:00.0359;2001DecodingIntensityStdDev:247.052;2001DecodingIntensityStdDev_488:34.122;2001DecodingIntensityStdDev_647:5.852;2001DecodingIntensityStdDev_700:6.476;2001DecodingIntensityStdDev_750:247.052;2001F_on:0.0352;2001FillPercent:010.38;2001KineticInconsistentLower:0;2001KineticInconsistentMetadata:-578.95874156461|2.42;2001MeanDecodingIntensity:994.85;2001MeanDecodingIntensity_488:153.74;2001MeanDecodingIntensity_647:39.03;2001MeanDecodingIntensity_700:35.41;2001MeanDecodingIntensity_750:994.85;2001ReflectiveIntensity:13378.86;2001ReflectiveIntensityStdDev:614.364;2001SealTimeEstimate:19.2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14.44;Empties488F1MeanIntensity:73.36;Empties577F1IntensityStdDev:31.99;Empties577F1MeanIntensity:361.94;Empties577F2IntensityStdDev:40.17;Empties577F2MeanIntensity:359.90;Empties647F1IntensityStdDev:4.69;Empties647F1MeanIntensity:32.00;Empties700F1IntensityStdDev:4.78;Empties700F1MeanIntensity:29.96;Empties750F1IntensityStdDev:5.81;Empties750F1MeanIntensity:34.47;EmptiesIGrowth:448.77;EmptiesReflectiveIntensityStdDev:436.06;EmptiesReflectiveMeanIntensity:12035.74;Errors:;F2minusF1Shift:0.3;FluorescenceClassification:Normal;Focus_FracImageLost:0.00;FocusScoresAvg:3.96;FocusScoresImageCenter:4.51;FocusScoresMax:5.25;FocusScoresMedian:3.93;FractionImageDebris:0.1039;FractionWellsDebris:0.0974;ImageQualityScoreIfUnpegged:1.00;IndexingWellsMissingFromFov:1794;IndexingWellsTotalLostBothVisibleAndMissing:3728;IndexingWellsVisibleInFovButRemoved:1934;L1DR time (ms):26570;NetBeadFillRate:32.30;NormalizedFillPercentage:046.04;Notes:Indexing: stripe across bottom | Xtalk: usable out of spec wv 577 sr 4 dir 5 value 0.036. | Xtalk: usable out of spec wv 577 sr 8 dir 5 value 0.046. | Xtalk: usable out of spec wv 577 sr 9 dir 4 value 0.038.;NumberDecSaturated:5;NumberEmpties:62682;NumberFlagged_DeadPixels:65.0000;NumberFlagged_Debris:18372.0000;NumberFlagged_MissingNeighbor:4140.0000;NumberFlagged_NeighborSaturated:17.0000;NumberFlagged_OutOfBounds:3179.0000;NumberFlagged_SaturatedPixelDecodingFour:05.0000;NumberInvalidWells:22933;NumberPositiveEmpties:59;NumberPositives:10300;NumberResSaturated:0;NumberSaturatedWithoutDebris:0;NumberValidUnclassified:49440.00;NumberValidWells:165609;OddlyAggregatedFlag:2;OddlyAggregatedLocations:;OddlyAggregatedWorst:0;OffsetW488:( 0, 0 );OffsetW577:( 0, 0 );OffsetW647:( 0, 0 );OffsetW700:( 0, 0 );OffsetW750:( 0, -1 );ResorufinUnsaturated:0;ResorufinUnsaturatedMutated:0;ResorufinUnsaturaterNumberInFit:187;SaturatedDecodingWells:0;SuspiciousWells:26750;SuspiciousWellsFlagged:1;SuspiciousWellsLowerThreshold:6;Warnings:;WhiteLightChannelMedian:9904;XtalkSubregionsOutOfSpec:0</t>
  </si>
  <si>
    <t>0002_DecodingIntensityStdDev_577F1:94.018;0002_DecodingIntensityStdDev_577F2:207.248;0002_MeanDecodingIntensity_577F1:432.67;0002_MeanDecodingIntensity_577F2:479.84;0002AEB:00.2232;0002DecodingIntensityStdDev:368.636;0002DecodingIntensityStdDev_488:368.636;0002DecodingIntensityStdDev_647:5.467;0002DecodingIntensityStdDev_700:5.540;0002DecodingIntensityStdDev_750:7.101;0002F_on:0.2000;0002FillPercent:017.42;0002KineticInconsistentLower:0;0002KineticInconsistentMetadata:-547.71699322976|2.43;0002MeanDecodingIntensity:1597.63;0002MeanDecodingIntensity_488:1597.63;0002MeanDecodingIntensity_647:35.43;0002MeanDecodingIntensity_700:31.03;0002MeanDecodingIntensity_750:36.43;0002ReflectiveIntensity:13281.51;0002ReflectiveIntensityStdDev:644.632;0002SealTimeEstimate:19.1;0021_DecodingIntensityStdDev_577F1:50.111;0021_DecodingIntensityStdDev_577F2:105.906;0021_MeanDecodingIntensity_577F1:399.79;0021_MeanDecodingIntensity_577F2:411.08;0021AEB:00.0359;0021DecodingIntensityStdDev:90.922;0021DecodingIntensityStdDev_488:27.790;0021DecodingIntensityStdDev_647:90.922;0021DecodingIntensityStdDev_700:10.969;0021DecodingIntensityStdDev_750:7.788;0021F_on:0.0353;0021FillPercent:010.51;0021KineticInconsistentLower:0;0021KineticInconsistentMetadata:-543.548061508283|2.44;0021MeanDecodingIntensity:417.93;0021MeanDecodingIntensity_488:145.42;0021MeanDecodingIntensity_647:417.93;0021MeanDecodingIntensity_700:68.83;0021MeanDecodingIntensity_750:36.63;0021ReflectiveIntensity:13048.93;0021ReflectiveIntensityStdDev:562.122;0021SealTimeEstimate:19.0;0201_DecodingIntensityStdDev_577F1:50.849;0201_DecodingIntensityStdDev_577F2:104.883;0201_MeanDecodingIntensity_577F1:402.07;0201_MeanDecodingIntensity_577F2:414.15;0201AEB:00.0411;0201DecodingIntensityStdDev:143.911;0201DecodingIntensityStdDev_488:51.351;0201DecodingIntensityStdDev_647:53.149;0201DecodingIntensityStdDev_700:143.911;0201DecodingIntensityStdDev_750:17.994;0201F_on:0.0402;0201FillPercent:012.76;0201KineticInconsistentLower:0;0201KineticInconsistentMetadata:-566.654501101531|2.48;0201MeanDecodingIntensity:499.53;0201MeanDecodingIntensity_488:154.01;0201MeanDecodingIntensity_647:109.10;0201MeanDecodingIntensity_700:499.53;0201MeanDecodingIntensity_750:67.53;0201ReflectiveIntensity:13178.60;0201ReflectiveIntensityStdDev:652.348;0201SealTimeEstimate:18.4;2001_DecodingIntensityStdDev_577F1:57.094;2001_DecodingIntensityStdDev_577F2:116.620;2001_MeanDecodingIntensity_577F1:430.54;2001_MeanDecodingIntensity_577F2:442.65;2001AEB:00.0392;2001DecodingIntensityStdDev:261.323;2001DecodingIntensityStdDev_488:76.088;2001DecodingIntensityStdDev_647:12.951;2001DecodingIntensityStdDev_700:7.833;2001DecodingIntensityStdDev_750:261.323;2001F_on:0.0384;2001FillPercent:011.95;2001KineticInconsistentLower:0;2001KineticInconsistentMetadata:-596.877810901282|2.45;2001MeanDecodingIntensity:930.79;2001MeanDecodingIntensity_488:155.82;2001MeanDecodingIntensity_647:39.42;2001MeanDecodingIntensity_700:35.58;2001MeanDecodingIntensity_750:930.79;2001ReflectiveIntensity:13135.19;2001ReflectiveIntensityStdDev:625.046;2001SealTimeEstimate:18.8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14.72;Empties488F1MeanIntensity:71.81;Empties577F1IntensityStdDev:18.89;Empties577F1MeanIntensity:365.34;Empties577F2IntensityStdDev:25.05;Empties577F2MeanIntensity:363.67;Empties647F1IntensityStdDev:4.81;Empties647F1MeanIntensity:31.75;Empties700F1IntensityStdDev:4.99;Empties700F1MeanIntensity:29.93;Empties750F1IntensityStdDev:6.09;Empties750F1MeanIntensity:34.61;EmptiesIGrowth:360.80;EmptiesReflectiveIntensityStdDev:385.41;EmptiesReflectiveMeanIntensity:11810.33;Errors:;F2minusF1Shift:-0.5;FluorescenceClassification:Normal;Focus_FracImageLost:0.00;FocusScoresAvg:3.89;FocusScoresImageCenter:4.83;FocusScoresMax:5.58;FocusScoresMedian:3.87;FractionImageDebris:0.1305;FractionWellsDebris:0.1399;ImageQualityScoreIfUnpegged:1.00;IndexingWellsMissingFromFov:0;IndexingWellsTotalLostBothVisibleAndMissing:0;IndexingWellsVisibleInFovButRemoved:0;L1DR time (ms):26060;NetBeadFillRate:36.90;NormalizedFillPercentage:052.64;Notes:Xtalk: usable out of spec wv 577 sr 8 dir 5 value 0.043. | Xtalk: usable out of spec wv 577 sr 9 dir 4 value 0.038.;NumberDecSaturated:0;NumberEmpties:53389;NumberFlagged_DeadPixels:70.0000;NumberFlagged_Debris:26903.0000;NumberFlagged_MissingNeighbor:3821.0000;NumberFlagged_NeighborSaturated:12.0000;NumberFlagged_OutOfBounds:4176.0000;NumberFlagged_SaturatedPixelResorufinTwo:02.0000;NumberInvalidWells:31522;NumberPositiveEmpties:33;NumberPositives:13555;NumberResSaturated:2;NumberSaturatedWithoutDebris:1;NumberValidUnclassified:48078.00;NumberValidWells:160805;OddlyAggregatedFlag:2;OddlyAggregatedLocations:;OddlyAggregatedWorst:0;OffsetW488:( 0, 0 );OffsetW577:( 0, 0 );OffsetW647:( 0, 0 );OffsetW700:( 0, 0 );OffsetW750:( 0, -1 );ResorufinUnsaturated:0;ResorufinUnsaturatedMutated:0;ResorufinUnsaturaterNumberInFit:184;SaturatedDecodingWells:0;SuspiciousWells:18961;SuspiciousWellsFlagged:1;SuspiciousWellsLowerThreshold:7;Warnings:;WhiteLightChannelMedian:9842;XtalkSubregionsOutOfSpec:0</t>
  </si>
  <si>
    <t>spikein-1-4-4</t>
  </si>
  <si>
    <t>Plate 2 - Well D5</t>
  </si>
  <si>
    <t>0002_DecodingIntensityStdDev_577F1:92.148;0002_DecodingIntensityStdDev_577F2:198.070;0002_MeanDecodingIntensity_577F1:459.74;0002_MeanDecodingIntensity_577F2:540.58;0002AEB:00.5862;0002DecodingIntensityStdDev:374.725;0002DecodingIntensityStdDev_488:374.725;0002DecodingIntensityStdDev_647:5.268;0002DecodingIntensityStdDev_700:5.322;0002DecodingIntensityStdDev_750:6.609;0002F_on:0.4436;0002FillPercent:015.71;0002KineticInconsistentLower:0;0002KineticInconsistentMetadata:-530.642676572343|2.38;0002MeanDecodingIntensity:1619.80;0002MeanDecodingIntensity_488:1619.80;0002MeanDecodingIntensity_647:35.29;0002MeanDecodingIntensity_700:30.79;0002MeanDecodingIntensity_750:35.70;0002ReflectiveIntensity:13272.11;0002ReflectiveIntensityStdDev:628.063;0002SealTimeEstimate:19.8;0021_DecodingIntensityStdDev_577F1:55.839;0021_DecodingIntensityStdDev_577F2:115.323;0021_MeanDecodingIntensity_577F1:436.24;0021_MeanDecodingIntensity_577F2:493.99;0021AEB:00.2017;0021DecodingIntensityStdDev:91.712;0021DecodingIntensityStdDev_488:25.618;0021DecodingIntensityStdDev_647:91.712;0021DecodingIntensityStdDev_700:10.991;0021DecodingIntensityStdDev_750:7.408;0021F_on:0.1827;0021FillPercent:009.02;0021KineticInconsistentLower:0;0021KineticInconsistentMetadata:-464.003548196075|2.24;0021MeanDecodingIntensity:427.65;0021MeanDecodingIntensity_488:143.28;0021MeanDecodingIntensity_647:427.65;0021MeanDecodingIntensity_700:69.83;0021MeanDecodingIntensity_750:36.15;0021ReflectiveIntensity:13055.60;0021ReflectiveIntensityStdDev:546.744;0021SealTimeEstimate:22.2;0201_DecodingIntensityStdDev_577F1:69.207;0201_DecodingIntensityStdDev_577F2:141.342;0201_MeanDecodingIntensity_577F1:441.05;0201_MeanDecodingIntensity_577F2:501.89;0201AEB:00.2641;0201DecodingIntensityStdDev:145.623;0201DecodingIntensityStdDev_488:39.439;0201DecodingIntensityStdDev_647:50.238;0201DecodingIntensityStdDev_700:145.623;0201DecodingIntensityStdDev_750:15.626;0201F_on:0.2321;0201FillPercent:011.10;0201KineticInconsistentLower:0;0201KineticInconsistentMetadata:-424.894858545394|2.15;0201MeanDecodingIntensity:509.54;0201MeanDecodingIntensity_488:149.77;0201MeanDecodingIntensity_647:110.23;0201MeanDecodingIntensity_700:509.54;0201MeanDecodingIntensity_750:67.20;0201ReflectiveIntensity:13183.10;0201ReflectiveIntensityStdDev:642.661;0201SealTimeEstimate:24.0;2001_DecodingIntensityStdDev_577F1:58.865;2001_DecodingIntensityStdDev_577F2:117.328;2001_MeanDecodingIntensity_577F1:465.72;2001_MeanDecodingIntensity_577F2:521.76;2001AEB:00.4105;2001DecodingIntensityStdDev:270.804;2001DecodingIntensityStdDev_488:36.162;2001DecodingIntensityStdDev_647:7.553;2001DecodingIntensityStdDev_700:7.149;2001DecodingIntensityStdDev_750:270.804;2001F_on:0.3367;2001FillPercent:010.34;2001KineticInconsistentLower:0;2001KineticInconsistentMetadata:-411.602364467417|2.06;2001MeanDecodingIntensity:959.40;2001MeanDecodingIntensity_488:147.53;2001MeanDecodingIntensity_647:38.82;2001MeanDecodingIntensity_700:35.35;2001MeanDecodingIntensity_750:959.40;2001ReflectiveIntensity:13128.79;2001ReflectiveIntensityStdDev:590.395;2001SealTimeEstimate:26.1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12.85;Empties488F1MeanIntensity:69.49;Empties577F1IntensityStdDev:36.18;Empties577F1MeanIntensity:367.26;Empties577F2IntensityStdDev:67.41;Empties577F2MeanIntensity:368.10;Empties647F1IntensityStdDev:4.52;Empties647F1MeanIntensity:31.54;Empties700F1IntensityStdDev:4.60;Empties700F1MeanIntensity:29.59;Empties750F1IntensityStdDev:5.61;Empties750F1MeanIntensity:34.07;EmptiesIGrowth:398.10;EmptiesReflectiveIntensityStdDev:352.08;EmptiesReflectiveMeanIntensity:11781.41;Errors:;F2minusF1Shift:-8.1;FittedF2OverF1Intercept:-442.880437777777;FittedF2OverF1Slope:2.06598791380259;FluorescenceClassification:Normal;Focus_FracImageLost:0.00;FocusScoresAvg:3.74;FocusScoresImageCenter:4.61;FocusScoresMax:5.34;FocusScoresMedian:3.64;FractionImageDebris:0.0928;FractionWellsDebris:0.1034;ImageQualityScoreIfUnpegged:1.00;IndexingWellsMissingFromFov:0;IndexingWellsTotalLostBothVisibleAndMissing:0;IndexingWellsVisibleInFovButRemoved:0;L1DR time (ms):28184;NetBeadFillRate:32.38;NormalizedFillPercentage:046.16;Notes:Xtalk: usable out of spec wv 577 sr 8 dir 5 value 0.038. | Xtalk: usable out of spec wv 577 sr 9 dir 5 value 0.038.;NumberDecSaturated:0;NumberEmpties:61284;NumberFlagged_DeadPixels:82.0000;NumberFlagged_Debris:19862.0000;NumberFlagged_MissingNeighbor:4578.0000;NumberFlagged_NeighborSaturated:06.0000;NumberFlagged_OddlyRecurrentClassification:9298.0000;NumberFlagged_OutOfBounds:4084.0000;NumberFlagged_SaturatedPixelResorufinTwo:01.0000;NumberFlagged_SaturationRemoverSuspiciousF1:01.0000;NumberInvalidWells:29770;NumberPositiveEmpties:207;NumberPositives:47076;NumberResSaturated:1;NumberSaturatedWithoutDebris:0;NumberValidUnclassified:48437.00;NumberValidWells:162264;OddlyAggregatedFlag:2;OddlyAggregatedLocations:;OddlyAggregatedWorst:0;OffsetW488:( 0, 0 );OffsetW577:( 0, 0 );OffsetW647:( 0, 0 );OffsetW700:( 0, 0 );OffsetW750:( 0, -1 );ResorufinUnsaturated:1;ResorufinUnsaturatedMutated:0;ResorufinUnsaturatedSuspiciousF1:1;ResorufinUnsaturaterNumberInFit:307;SaturatedDecodingWells:0;SuspiciousWells:24149;SuspiciousWellsFlagged:1;SuspiciousWellsLowerThreshold:6;Warnings:;WhiteLightChannelMedian:9797;XtalkSubregionsOutOfSpec:0</t>
  </si>
  <si>
    <t>0002_DecodingIntensityStdDev_577F1:69.677;0002_DecodingIntensityStdDev_577F2:183.346;0002_MeanDecodingIntensity_577F1:457.19;0002_MeanDecodingIntensity_577F2:539.20;0002AEB:00.6280;0002DecodingIntensityStdDev:364.002;0002DecodingIntensityStdDev_488:364.002;0002DecodingIntensityStdDev_647:5.139;0002DecodingIntensityStdDev_700:5.024;0002DecodingIntensityStdDev_750:6.709;0002F_on:0.4663;0002FillPercent:015.32;0002KineticInconsistentLower:0;0002KineticInconsistentMetadata:-769.020383467549|2.93;0002MeanDecodingIntensity:1604.30;0002MeanDecodingIntensity_488:1604.30;0002MeanDecodingIntensity_647:35.01;0002MeanDecodingIntensity_700:30.61;0002MeanDecodingIntensity_750:35.72;0002ReflectiveIntensity:13105.94;0002ReflectiveIntensityStdDev:663.563;0002SealTimeEstimate:14.0;0021_DecodingIntensityStdDev_577F1:49.550;0021_DecodingIntensityStdDev_577F2:126.453;0021_MeanDecodingIntensity_577F1:438.43;0021_MeanDecodingIntensity_577F2:497.13;0021AEB:00.2750;0021DecodingIntensityStdDev:87.510;0021DecodingIntensityStdDev_488:24.661;0021DecodingIntensityStdDev_647:87.510;0021DecodingIntensityStdDev_700:10.635;0021DecodingIntensityStdDev_750:7.494;0021F_on:0.2404;0021FillPercent:008.96;0021KineticInconsistentLower:0;0021KineticInconsistentMetadata:-671.418016144988|2.73;0021MeanDecodingIntensity:418.46;0021MeanDecodingIntensity_488:143.73;0021MeanDecodingIntensity_647:418.46;0021MeanDecodingIntensity_700:68.88;0021MeanDecodingIntensity_750:36.27;0021ReflectiveIntensity:12873.90;0021ReflectiveIntensityStdDev:564.488;0021SealTimeEstimate:15.7;0201_DecodingIntensityStdDev_577F1:50.152;0201_DecodingIntensityStdDev_577F2:123.728;0201_MeanDecodingIntensity_577F1:439.54;0201_MeanDecodingIntensity_577F2:497.42;0201AEB:00.2334;0201DecodingIntensityStdDev:134.483;0201DecodingIntensityStdDev_488:32.253;0201DecodingIntensityStdDev_647:29.415;0201DecodingIntensityStdDev_700:134.483;0201DecodingIntensityStdDev_750:13.753;0201F_on:0.2081;0201FillPercent:010.81;0201KineticInconsistentLower:0;0201KineticInconsistentMetadata:-639.537450984205|2.66;0201MeanDecodingIntensity:504.02;0201MeanDecodingIntensity_488:148.56;0201MeanDecodingIntensity_647:100.85;0201MeanDecodingIntensity_700:504.02;0201MeanDecodingIntensity_750:66.16;0201ReflectiveIntensity:12976.95;0201ReflectiveIntensityStdDev:643.571;0201SealTimeEstimate:16.4;2001_DecodingIntensityStdDev_577F1:55.235;2001_DecodingIntensityStdDev_577F2:133.922;2001_MeanDecodingIntensity_577F1:469.81;2001_MeanDecodingIntensity_577F2:528.33;2001AEB:00.2537;2001DecodingIntensityStdDev:254.661;2001DecodingIntensityStdDev_488:31.043;2001DecodingIntensityStdDev_647:6.142;2001DecodingIntensityStdDev_700:6.783;2001DecodingIntensityStdDev_750:254.661;2001F_on:0.2240;2001FillPercent:010.11;2001KineticInconsistentLower:0;2001KineticInconsistentMetadata:-651.867347890744|2.59;2001MeanDecodingIntensity:948.13;2001MeanDecodingIntensity_488:147.69;2001MeanDecodingIntensity_647:38.39;2001MeanDecodingIntensity_700:35.27;2001MeanDecodingIntensity_750:948.13;2001ReflectiveIntensity:12956.03;2001ReflectiveIntensityStdDev:635.788;2001SealTimeEstimate:17.1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12.80;Empties488F1MeanIntensity:72.45;Empties577F1IntensityStdDev:35.37;Empties577F1MeanIntensity:381.58;Empties577F2IntensityStdDev:81.26;Empties577F2MeanIntensity:381.17;Empties647F1IntensityStdDev:4.42;Empties647F1MeanIntensity:31.48;Empties700F1IntensityStdDev:4.50;Empties700F1MeanIntensity:29.69;Empties750F1IntensityStdDev:5.51;Empties750F1MeanIntensity:34.07;EmptiesIGrowth:499.58;EmptiesReflectiveIntensityStdDev:333.49;EmptiesReflectiveMeanIntensity:11647.87;Errors:;F2minusF1Shift:-7.7;FittedF2OverF1Intercept:-770.483641297215;FittedF2OverF1Slope:2.60802781158149;FluorescenceClassification:Normal;Focus_FracImageLost:0.00;FocusScoresAvg:3.70;FocusScoresImageCenter:4.15;FocusScoresMax:4.90;FocusScoresMedian:3.76;FractionImageDebris:0.1615;FractionWellsDebris:0.1548;ImageQualityScoreIfUnpegged:1.00;IndexingWellsMissingFromFov:0;IndexingWellsTotalLostBothVisibleAndMissing:0;IndexingWellsVisibleInFovButRemoved:0;L1DR time (ms):27108;NetBeadFillRate:31.71;NormalizedFillPercentage:045.19;Notes:Xtalk: usable out of spec wv 577 sr 8 dir 5 value 0.041.;NumberDecSaturated:0;NumberEmpties:55436;NumberFlagged_DeadPixels:74.0000;NumberFlagged_Debris:29216.0000;NumberFlagged_MissingNeighbor:8704.0000;NumberFlagged_NeighborSaturated:06.0000;NumberFlagged_OddlyRecurrentClassification:28124.0000;NumberFlagged_OutOfBounds:3745.0000;NumberFlagged_SaturatedPixelResorufinTwo:01.0000;NumberInvalidWells:44517;NumberPositiveEmpties:211;NumberPositives:49557;NumberResSaturated:1;NumberSaturatedWithoutDebris:1;NumberValidUnclassified:43013.00;NumberValidWells:144156;OddlyAggregatedFlag:2;OddlyAggregatedLocations:;OddlyAggregatedWorst:0;OffsetW488:( 0, 0 );OffsetW577:( 0, 0 );OffsetW647:( 0, 0 );OffsetW700:( 0, 0 );OffsetW750:( 0, 0 );ResorufinUnsaturated:1;ResorufinUnsaturatedMutated:1;ResorufinUnsaturatedSuspiciousF1:0;ResorufinUnsaturaterNumberInFit:207;SaturatedDecodingWells:0;SuspiciousWells:19183;SuspiciousWellsFlagged:1;SuspiciousWellsLowerThreshold:7;Warnings:;WhiteLightChannelMedian:9831;XtalkSubregionsOutOfSpec:0</t>
  </si>
  <si>
    <t>0002_DecodingIntensityStdDev_577F1:71.955;0002_DecodingIntensityStdDev_577F2:187.005;0002_MeanDecodingIntensity_577F1:453.99;0002_MeanDecodingIntensity_577F2:535.25;0002AEB:00.6015;0002DecodingIntensityStdDev:370.741;0002DecodingIntensityStdDev_488:370.741;0002DecodingIntensityStdDev_647:4.971;0002DecodingIntensityStdDev_700:4.913;0002DecodingIntensityStdDev_750:6.120;0002F_on:0.4520;0002FillPercent:012.11;0002KineticInconsistentLower:0;0002KineticInconsistentMetadata:-764.164016276116|2.93;0002MeanDecodingIntensity:1645.82;0002MeanDecodingIntensity_488:1645.82;0002MeanDecodingIntensity_647:35.22;0002MeanDecodingIntensity_700:30.51;0002MeanDecodingIntensity_750:35.12;0002ReflectiveIntensity:13142.07;0002ReflectiveIntensityStdDev:641.372;0002SealTimeEstimate:14.0;0021_DecodingIntensityStdDev_577F1:47.470;0021_DecodingIntensityStdDev_577F2:117.250;0021_MeanDecodingIntensity_577F1:436.56;0021_MeanDecodingIntensity_577F2:494.84;0021AEB:00.5456;0021DecodingIntensityStdDev:90.817;0021DecodingIntensityStdDev_488:24.356;0021DecodingIntensityStdDev_647:90.817;0021DecodingIntensityStdDev_700:10.683;0021DecodingIntensityStdDev_750:6.846;0021F_on:0.4205;0021FillPercent:006.76;0021KineticInconsistentLower:0;0021KineticInconsistentMetadata:-572.407268276338|2.51;0021MeanDecodingIntensity:429.57;0021MeanDecodingIntensity_488:145.79;0021MeanDecodingIntensity_647:429.57;0021MeanDecodingIntensity_700:70.12;0021MeanDecodingIntensity_750:35.68;0021ReflectiveIntensity:12917.35;0021ReflectiveIntensityStdDev:553.696;0021SealTimeEstimate:18.1;0201_DecodingIntensityStdDev_577F1:51.939;0201_DecodingIntensityStdDev_577F2:125.782;0201_MeanDecodingIntensity_577F1:436.91;0201_MeanDecodingIntensity_577F2:495.12;0201AEB:00.2597;0201DecodingIntensityStdDev:141.186;0201DecodingIntensityStdDev_488:32.448;0201DecodingIntensityStdDev_647:37.543;0201DecodingIntensityStdDev_700:141.186;0201DecodingIntensityStdDev_750:13.687;0201F_on:0.2287;0201FillPercent:008.49;0201KineticInconsistentLower:0;0201KineticInconsistentMetadata:-601.366057586476|2.58;0201MeanDecodingIntensity:517.00;0201MeanDecodingIntensity_488:150.18;0201MeanDecodingIntensity_647:106.00;0201MeanDecodingIntensity_700:517.00;0201MeanDecodingIntensity_750:66.94;0201ReflectiveIntensity:13026.78;0201ReflectiveIntensityStdDev:648.303;0201SealTimeEstimate:17.2;2001_DecodingIntensityStdDev_577F1:53.152;2001_DecodingIntensityStdDev_577F2:124.773;2001_MeanDecodingIntensity_577F1:466.38;2001_MeanDecodingIntensity_577F2:523.83;2001AEB:00.5298;2001DecodingIntensityStdDev:266.559;2001DecodingIntensityStdDev_488:34.792;2001DecodingIntensityStdDev_647:7.046;2001DecodingIntensityStdDev_700:6.900;2001DecodingIntensityStdDev_750:266.559;2001F_on:0.4113;2001FillPercent:007.75;2001KineticInconsistentLower:0;2001KineticInconsistentMetadata:-538.328747466484|2.35;2001MeanDecodingIntensity:967.01;2001MeanDecodingIntensity_488:149.60;2001MeanDecodingIntensity_647:38.97;2001MeanDecodingIntensity_700:35.29;2001MeanDecodingIntensity_750:967.01;2001ReflectiveIntensity:13001.36;2001ReflectiveIntensityStdDev:621.413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11.90;Empties488F1MeanIntensity:71.88;Empties577F1IntensityStdDev:33.78;Empties577F1MeanIntensity:377.09;Empties577F2IntensityStdDev:76.96;Empties577F2MeanIntensity:376.02;Empties647F1IntensityStdDev:4.30;Empties647F1MeanIntensity:31.64;Empties700F1IntensityStdDev:4.25;Empties700F1MeanIntensity:29.47;Empties750F1IntensityStdDev:5.05;Empties750F1MeanIntensity:33.65;EmptiesIGrowth:493.37;EmptiesReflectiveIntensityStdDev:331.81;EmptiesReflectiveMeanIntensity:11627.70;Errors:;F2minusF1Shift:-2.0;FluorescenceClassification:Normal;Focus_FracImageLost:0.00;FocusScoresAvg:3.47;FocusScoresImageCenter:4.21;FocusScoresMax:4.81;FocusScoresMedian:3.38;FractionImageDebris:0.1104;FractionWellsDebris:0.1223;ImageQualityScoreIfUnpegged:1.00;IndexingWellsMissingFromFov:0;IndexingWellsTotalLostBothVisibleAndMissing:0;IndexingWellsVisibleInFovButRemoved:0;L1DR time (ms):27246;NetBeadFillRate:24.66;NormalizedFillPercentage:035.11;Notes:Xtalk: usable out of spec wv 577 sr 4 dir 5 value 0.038. | Xtalk: usable out of spec wv 577 sr 9 dir 5 value 0.043.;NumberDecSaturated:0;NumberEmpties:74699;NumberFlagged_DeadPixels:75.0000;NumberFlagged_Debris:23551.0000;NumberFlagged_MissingNeighbor:3601.0000;NumberFlagged_NeighborSaturated:12.0000;NumberFlagged_OddlyRecurrentClassification:1690.0000;NumberFlagged_OutOfBounds:4165.0000;NumberFlagged_SaturatedPixelResorufinTwo:02.0000;NumberInvalidWells:28641;NumberPositiveEmpties:233;NumberPositives:36710;NumberResSaturated:2;NumberSaturatedWithoutDebris:0;NumberValidUnclassified:48783.00;NumberValidWells:163908;OddlyAggregatedFlag:2;OddlyAggregatedLocations:;OddlyAggregatedWorst:0;OffsetW488:( 0, 0 );OffsetW577:( 0, 0 );OffsetW647:( 0, 0 );OffsetW700:( 0, 0 );OffsetW750:( 0, 0 );ResorufinUnsaturated:0;ResorufinUnsaturatedMutated:0;ResorufinUnsaturaterNumberInFit:135;SaturatedDecodingWells:0;SuspiciousWells:22365;SuspiciousWellsFlagged:1;SuspiciousWellsLowerThreshold:5;Warnings:;WhiteLightChannelMedian:9683;XtalkSubregionsOutOfSpec:0</t>
  </si>
  <si>
    <t>spikein-1-4-5</t>
  </si>
  <si>
    <t>Plate 2 - Well E5</t>
  </si>
  <si>
    <t>0002_DecodingIntensityStdDev_577F1:89.071;0002_DecodingIntensityStdDev_577F2:212.464;0002_MeanDecodingIntensity_577F1:578.79;0002_MeanDecodingIntensity_577F2:845.91;0002AEB:-;0002DecodingIntensityStdDev:373.037;0002DecodingIntensityStdDev_488:373.037;0002DecodingIntensityStdDev_647:5.009;0002DecodingIntensityStdDev_700:4.763;0002DecodingIntensityStdDev_750:6.133;0002F_on:0.9986;0002FillPercent:015.37;0002KineticInconsistentLower:0;0002KineticInconsistentMetadata:-659.81245565931|2.66;0002MeanDecodingIntensity:1762.63;0002MeanDecodingIntensity_488:1762.63;0002MeanDecodingIntensity_647:35.42;0002MeanDecodingIntensity_700:30.48;0002MeanDecodingIntensity_750:35.63;0002ReflectiveIntensity:13287.65;0002ReflectiveIntensityStdDev:655.180;0002SealTimeEstimate:16.4;0021_DecodingIntensityStdDev_577F1:82.474;0021_DecodingIntensityStdDev_577F2:200.349;0021_MeanDecodingIntensity_577F1:588.36;0021_MeanDecodingIntensity_577F2:884.25;0021AEB:-;0021DecodingIntensityStdDev:90.730;0021DecodingIntensityStdDev_488:23.735;0021DecodingIntensityStdDev_647:90.730;0021DecodingIntensityStdDev_700:10.410;0021DecodingIntensityStdDev_750:6.447;0021F_on:0.9993;0021FillPercent:009.30;0021KineticInconsistentLower:0;0021KineticInconsistentMetadata:-667.430024337069|2.69;0021MeanDecodingIntensity:452.61;0021MeanDecodingIntensity_488:151.37;0021MeanDecodingIntensity_647:452.61;0021MeanDecodingIntensity_700:72.24;0021MeanDecodingIntensity_750:35.88;0021ReflectiveIntensity:13042.82;0021ReflectiveIntensityStdDev:541.828;0021SealTimeEstimate:16.1;0201_DecodingIntensityStdDev_577F1:93.847;0201_DecodingIntensityStdDev_577F2:213.184;0201_MeanDecodingIntensity_577F1:586.17;0201_MeanDecodingIntensity_577F2:875.54;0201AEB:-;0201DecodingIntensityStdDev:135.090;0201DecodingIntensityStdDev_488:28.528;0201DecodingIntensityStdDev_647:24.942;0201DecodingIntensityStdDev_700:135.090;0201DecodingIntensityStdDev_750:12.028;0201F_on:0.9995;0201FillPercent:011.04;0201KineticInconsistentLower:0;0201KineticInconsistentMetadata:-651.446902228666|2.66;0201MeanDecodingIntensity:538.75;0201MeanDecodingIntensity_488:154.78;0201MeanDecodingIntensity_647:104.21;0201MeanDecodingIntensity_700:538.75;0201MeanDecodingIntensity_750:67.36;0201ReflectiveIntensity:13126.80;0201ReflectiveIntensityStdDev:594.218;0201SealTimeEstimate:16.4;2001_DecodingIntensityStdDev_577F1:83.134;2001_DecodingIntensityStdDev_577F2:196.862;2001_MeanDecodingIntensity_577F1:614.30;2001_MeanDecodingIntensity_577F2:899.81;2001AEB:-;2001DecodingIntensityStdDev:239.598;2001DecodingIntensityStdDev_488:26.248;2001DecodingIntensityStdDev_647:5.639;2001DecodingIntensityStdDev_700:5.772;2001DecodingIntensityStdDev_750:239.598;2001F_on:0.9990;2001FillPercent:010.68;2001KineticInconsistentLower:0;2001KineticInconsistentMetadata:-694.000295367708|2.65;2001MeanDecodingIntensity:1004.50;2001MeanDecodingIntensity_488:152.90;2001MeanDecodingIntensity_647:38.79;2001MeanDecodingIntensity_700:34.97;2001MeanDecodingIntensity_750:1004.50;2001ReflectiveIntensity:13088.31;2001ReflectiveIntensityStdDev:589.204;2001SealTimeEstimate:16.5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12.85;Empties488F1MeanIntensity:75.67;Empties577F1IntensityStdDev:38.59;Empties577F1MeanIntensity:391.70;Empties577F2IntensityStdDev:89.14;Empties577F2MeanIntensity:395.13;Empties647F1IntensityStdDev:4.39;Empties647F1MeanIntensity:31.63;Empties700F1IntensityStdDev:4.31;Empties700F1MeanIntensity:29.64;Empties750F1IntensityStdDev:5.43;Empties750F1MeanIntensity:34.35;EmptiesIGrowth:293.10;EmptiesReflectiveIntensityStdDev:340.89;EmptiesReflectiveMeanIntensity:11708.45;Errors:;F2minusF1Shift:-3.0;FittedF2OverF1Intercept:-763.276879643981;FittedF2OverF1Slope:2.48324382888798;FluorescenceClassification:Normal;Focus_FracImageLost:0.00;FocusScoresAvg:3.62;FocusScoresImageCenter:3.79;FocusScoresMax:4.74;FocusScoresMedian:3.62;FractionImageDebris:0.2748;FractionWellsDebris:0.2982;ImageQualityScoreIfUnpegged:1.00;IndexingWellsMissingFromFov:0;IndexingWellsTotalLostBothVisibleAndMissing:0;IndexingWellsVisibleInFovButRemoved:0;L1DR time (ms):24649;NetBeadFillRate:32.52;NormalizedFillPercentage:046.39;Notes:Xtalk: usable out of spec wv 577 sr 4 dir 5 value 0.038. | Xtalk: usable out of spec wv 577 sr 8 dir 5 value 0.041. | Xtalk: usable out of spec wv 577 sr 11 dir 3 value 0.038.;NumberDecSaturated:0;NumberEmpties:41024;NumberFlagged_DeadPixels:66.0000;NumberFlagged_Debris:57364.0000;NumberFlagged_MissingNeighbor:3847.0000;NumberFlagged_NeighborSaturated:12.0000;NumberFlagged_OddlyRecurrentClassification:58015.0000;NumberFlagged_OutOfBounds:4030.0000;NumberFlagged_SaturatedPixelResorufinTwo:02.0000;NumberFlagged_SaturationRemoverSuspiciousF1:02.0000;NumberInvalidWells:83207;NumberPositiveEmpties:193;NumberPositives:95808;NumberResSaturated:2;NumberSaturatedWithoutDebris:1;NumberValidUnclassified:32627.00;NumberValidWells:109152;OddlyAggregatedFlag:2;OddlyAggregatedLocations:;OddlyAggregatedWorst:0;OffsetW488:( 0, 0 );OffsetW577:( 0, 0 );OffsetW647:( 0, 1 );OffsetW700:( 0, 0 );OffsetW750:( 0, 0 );ResorufinUnsaturated:1;ResorufinUnsaturatedMutated:4;ResorufinUnsaturatedSuspiciousF1:2;ResorufinUnsaturaterNumberInFit:816;SaturatedDecodingWells:0;SuspiciousWells:22864;SuspiciousWellsFlagged:1;SuspiciousWellsLowerThreshold:6;Warnings:;WhiteLightChannelMedian:9904;XtalkSubregionsOutOfSpec:0</t>
  </si>
  <si>
    <t>spikein-1-4-6</t>
  </si>
  <si>
    <t>Plate 2 - Well F5</t>
  </si>
  <si>
    <t>0002_DecodingIntensityStdDev_577F1:69.178;0002_DecodingIntensityStdDev_577F2:176.563;0002_MeanDecodingIntensity_577F1:456.48;0002_MeanDecodingIntensity_577F2:551.34;0002AEB:-;0002DecodingIntensityStdDev:351.568;0002DecodingIntensityStdDev_488:351.568;0002DecodingIntensityStdDev_647:5.127;0002DecodingIntensityStdDev_700:5.233;0002DecodingIntensityStdDev_750:6.717;0002F_on:0.7143;0002FillPercent:015.85;0002KineticInconsistentLower:0;0002KineticInconsistentMetadata:-680.146073553284|2.76;0002MeanDecodingIntensity:1564.16;0002MeanDecodingIntensity_488:1564.16;0002MeanDecodingIntensity_647:35.06;0002MeanDecodingIntensity_700:30.75;0002MeanDecodingIntensity_750:35.72;0002ReflectiveIntensity:13205.36;0002ReflectiveIntensityStdDev:623.539;0002SealTimeEstimate:15.4;0021_DecodingIntensityStdDev_577F1:46.154;0021_DecodingIntensityStdDev_577F2:113.536;0021_MeanDecodingIntensity_577F1:439.13;0021_MeanDecodingIntensity_577F2:513.72;0021AEB:-;0021DecodingIntensityStdDev:88.623;0021DecodingIntensityStdDev_488:23.977;0021DecodingIntensityStdDev_647:88.623;0021DecodingIntensityStdDev_700:10.411;0021DecodingIntensityStdDev_750:7.163;0021F_on:0.7441;0021FillPercent:009.41;0021KineticInconsistentLower:0;0021KineticInconsistentMetadata:-535.245604527883|2.44;0021MeanDecodingIntensity:414.08;0021MeanDecodingIntensity_488:140.62;0021MeanDecodingIntensity_647:414.08;0021MeanDecodingIntensity_700:68.59;0021MeanDecodingIntensity_750:35.99;0021ReflectiveIntensity:12971.20;0021ReflectiveIntensityStdDev:489.490;0021SealTimeEstimate:19.0;0201_DecodingIntensityStdDev_577F1:50.368;0201_DecodingIntensityStdDev_577F2:120.339;0201_MeanDecodingIntensity_577F1:440.74;0201_MeanDecodingIntensity_577F2:515.86;0201AEB:-;0201DecodingIntensityStdDev:135.245;0201DecodingIntensityStdDev_488:33.488;0201DecodingIntensityStdDev_647:31.385;0201DecodingIntensityStdDev_700:135.245;0201DecodingIntensityStdDev_750:12.610;0201F_on:0.7279;0201FillPercent:011.28;0201KineticInconsistentLower:0;0201KineticInconsistentMetadata:-522.232622557848|2.41;0201MeanDecodingIntensity:498.63;0201MeanDecodingIntensity_488:146.61;0201MeanDecodingIntensity_647:101.20;0201MeanDecodingIntensity_700:498.63;0201MeanDecodingIntensity_750:65.94;0201ReflectiveIntensity:13068.76;0201ReflectiveIntensityStdDev:583.621;0201SealTimeEstimate:19.4;2001_DecodingIntensityStdDev_577F1:50.832;2001_DecodingIntensityStdDev_577F2:116.110;2001_MeanDecodingIntensity_577F1:469.05;2001_MeanDecodingIntensity_577F2:542.85;2001AEB:-;2001DecodingIntensityStdDev:259.406;2001DecodingIntensityStdDev_488:29.899;2001DecodingIntensityStdDev_647:6.043;2001DecodingIntensityStdDev_700:6.430;2001DecodingIntensityStdDev_750:259.406;2001F_on:0.7267;2001FillPercent:010.68;2001KineticInconsistentLower:0;2001KineticInconsistentMetadata:-504.304725767023|2.29;2001MeanDecodingIntensity:949.66;2001MeanDecodingIntensity_488:144.39;2001MeanDecodingIntensity_647:38.14;2001MeanDecodingIntensity_700:35.04;2001MeanDecodingIntensity_750:949.66;2001ReflectiveIntensity:13045.35;2001ReflectiveIntensityStdDev:557.915;2001SealTimeEstimate:21.3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12.90;Empties488F1MeanIntensity:70.05;Empties577F1IntensityStdDev:27.98;Empties577F1MeanIntensity:373.68;Empties577F2IntensityStdDev:61.38;Empties577F2MeanIntensity:374.50;Empties647F1IntensityStdDev:4.53;Empties647F1MeanIntensity:31.66;Empties700F1IntensityStdDev:4.61;Empties700F1MeanIntensity:29.66;Empties750F1IntensityStdDev:5.61;Empties750F1MeanIntensity:34.18;EmptiesIGrowth:340.58;EmptiesReflectiveIntensityStdDev:279.64;EmptiesReflectiveMeanIntensity:11807.27;Errors:;F2minusF1Shift:1.0;FluorescenceClassification:Normal;Focus_FracImageLost:0.00;FocusScoresAvg:3.54;FocusScoresImageCenter:4.58;FocusScoresMax:5.22;FocusScoresMedian:3.59;FractionImageDebris:0.1958;FractionWellsDebris:0.1685;ImageQualityScoreIfUnpegged:1.00;IndexingWellsMissingFromFov:0;IndexingWellsTotalLostBothVisibleAndMissing:0;IndexingWellsVisibleInFovButRemoved:0;L1DR time (ms):25631;NetBeadFillRate:32.90;NormalizedFillPercentage:047.22;Notes:Xtalk: usable out of spec wv 577 sr 4 dir 5 value 0.036.;NumberDecSaturated:0;NumberEmpties:45736;NumberFlagged_DeadPixels:73.0000;NumberFlagged_Debris:30920.0000;NumberFlagged_MissingNeighbor:12443.0000;NumberFlagged_OddlyRecurrentClassification:41313.0000;NumberFlagged_OutOfBounds:3533.0000;NumberInvalidWells:59152;NumberPositiveEmpties:223;NumberPositives:73879;NumberResSaturated:0;NumberSaturatedWithoutDebris:0;NumberValidUnclassified:37737.00;NumberValidWells:124398;OddlyAggregatedFlag:2;OddlyAggregatedLocations:;OddlyAggregatedWorst:0;OffsetW488:( 0, 0 );OffsetW577:( 0, 0 );OffsetW647:( 0, 0 );OffsetW700:( 0, 0 );OffsetW750:( 0, 0 );ResorufinUnsaturated:0;ResorufinUnsaturatedMutated:0;ResorufinUnsaturaterNumberInFit:141;SaturatedDecodingWells:0;SuspiciousWells:22376;SuspiciousWellsFlagged:1;SuspiciousWellsLowerThreshold:6;Warnings:;WhiteLightChannelMedian:9977;XtalkSubregionsOutOfSpec:0</t>
  </si>
  <si>
    <t>0002_DecodingIntensityStdDev_577F1:76.765;0002_DecodingIntensityStdDev_577F2:176.244;0002_MeanDecodingIntensity_577F1:468.80;0002_MeanDecodingIntensity_577F2:564.66;0002AEB:-;0002DecodingIntensityStdDev:350.846;0002DecodingIntensityStdDev_488:350.846;0002DecodingIntensityStdDev_647:4.753;0002DecodingIntensityStdDev_700:4.718;0002DecodingIntensityStdDev_750:5.836;0002F_on:0.7121;0002FillPercent:013.73;0002KineticInconsistentLower:0;0002KineticInconsistentMetadata:-578.136181608538|2.49;0002MeanDecodingIntensity:1524.73;0002MeanDecodingIntensity_488:1524.73;0002MeanDecodingIntensity_647:34.65;0002MeanDecodingIntensity_700:30.09;0002MeanDecodingIntensity_750:34.52;0002ReflectiveIntensity:13077.63;0002ReflectiveIntensityStdDev:593.700;0002SealTimeEstimate:18.3;0021_DecodingIntensityStdDev_577F1:46.814;0021_DecodingIntensityStdDev_577F2:103.841;0021_MeanDecodingIntensity_577F1:448.58;0021_MeanDecodingIntensity_577F2:522.56;0021AEB:-;0021DecodingIntensityStdDev:82.490;0021DecodingIntensityStdDev_488:19.936;0021DecodingIntensityStdDev_647:82.490;0021DecodingIntensityStdDev_700:9.488;0021DecodingIntensityStdDev_750:6.046;0021F_on:0.7260;0021FillPercent:008.31;0021KineticInconsistentLower:0;0021KineticInconsistentMetadata:-476.193661458253|2.27;0021MeanDecodingIntensity:411.42;0021MeanDecodingIntensity_488:135.36;0021MeanDecodingIntensity_647:411.42;0021MeanDecodingIntensity_700:67.39;0021MeanDecodingIntensity_750:34.57;0021ReflectiveIntensity:12858.41;0021ReflectiveIntensityStdDev:499.715;0021SealTimeEstimate:21.6;0201_DecodingIntensityStdDev_577F1:46.926;0201_DecodingIntensityStdDev_577F2:101.776;0201_MeanDecodingIntensity_577F1:446.78;0201_MeanDecodingIntensity_577F2:518.90;0201AEB:-;0201DecodingIntensityStdDev:106.602;0201DecodingIntensityStdDev_488:22.990;0201DecodingIntensityStdDev_647:17.310;0201DecodingIntensityStdDev_700:106.602;0201DecodingIntensityStdDev_750:10.223;0201F_on:0.7142;0201FillPercent:009.34;0201KineticInconsistentLower:0;0201KineticInconsistentMetadata:-457.233648252355|2.23;0201MeanDecodingIntensity:486.79;0201MeanDecodingIntensity_488:137.40;0201MeanDecodingIntensity_647:96.10;0201MeanDecodingIntensity_700:486.79;0201MeanDecodingIntensity_750:63.34;0201ReflectiveIntensity:12901.96;0201ReflectiveIntensityStdDev:515.360;0201SealTimeEstimate:22.4;2001_DecodingIntensityStdDev_577F1:48.882;2001_DecodingIntensityStdDev_577F2:104.773;2001_MeanDecodingIntensity_577F1:475.29;2001_MeanDecodingIntensity_577F2:546.19;2001AEB:-;2001DecodingIntensityStdDev:211.799;2001DecodingIntensityStdDev_488:22.560;2001DecodingIntensityStdDev_647:5.252;2001DecodingIntensityStdDev_700:5.366;2001DecodingIntensityStdDev_750:211.799;2001F_on:0.7012;2001FillPercent:008.94;2001KineticInconsistentLower:0;2001KineticInconsistentMetadata:-462.468782243915|2.17;2001MeanDecodingIntensity:928.24;2001MeanDecodingIntensity_488:137.20;2001MeanDecodingIntensity_647:37.72;2001MeanDecodingIntensity_700:34.05;2001MeanDecodingIntensity_750:928.24;2001ReflectiveIntensity:12892.23;2001ReflectiveIntensityStdDev:526.097;2001SealTimeEstimate:23.6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10.68;Empties488F1MeanIntensity:68.92;Empties577F1IntensityStdDev:21.11;Empties577F1MeanIntensity:377.87;Empties577F2IntensityStdDev:37.85;Empties577F2MeanIntensity:378.49;Empties647F1IntensityStdDev:4.20;Empties647F1MeanIntensity:31.44;Empties700F1IntensityStdDev:4.14;Empties700F1MeanIntensity:29.26;Empties750F1IntensityStdDev:4.91;Empties750F1MeanIntensity:33.33;EmptiesIGrowth:195.24;EmptiesReflectiveIntensityStdDev:291.42;EmptiesReflectiveMeanIntensity:11688.30;Errors:;F2minusF1Shift:-1.0;FluorescenceClassification:Normal;Focus_FracImageLost:0.00;FocusScoresAvg:3.52;FocusScoresImageCenter:4.10;FocusScoresMax:5.15;FocusScoresMedian:3.49;FractionImageDebris:0.1384;FractionWellsDebris:0.1526;ImageQualityScoreIfUnpegged:1.00;IndexingWellsMissingFromFov:0;IndexingWellsTotalLostBothVisibleAndMissing:0;IndexingWellsVisibleInFovButRemoved:0;L1DR time (ms):26596;NetBeadFillRate:28.31;NormalizedFillPercentage:040.32;Notes:;NumberDecSaturated:0;NumberEmpties:60103;NumberFlagged_DeadPixels:81.0000;NumberFlagged_Debris:29387.0000;NumberFlagged_MissingNeighbor:3167.0000;NumberFlagged_NeighborSaturated:06.0000;NumberFlagged_OddlyRecurrentClassification:33119.0000;NumberFlagged_OutOfBounds:4184.0000;NumberFlagged_SaturatedPixelResorufinTwo:01.0000;NumberInvalidWells:49145;NumberPositiveEmpties:139;NumberPositives:69309;NumberResSaturated:1;NumberSaturatedWithoutDebris:0;NumberValidUnclassified:42719.00;NumberValidWells:143424;OddlyAggregatedFlag:2;OddlyAggregatedLocations:;OddlyAggregatedWorst:0;OffsetW488:( 0, 0 );OffsetW577:( 0, 0 );OffsetW647:( 0, 0 );OffsetW700:( 0, 0 );OffsetW750:( 0, 0 );ResorufinUnsaturated:0;ResorufinUnsaturatedMutated:0;ResorufinUnsaturaterNumberInFit:90;SaturatedDecodingWells:0;SuspiciousWells:22779;SuspiciousWellsFlagged:1;SuspiciousWellsLowerThreshold:5;Warnings:;WhiteLightChannelMedian:9731;XtalkSubregionsOutOfSpec:0</t>
  </si>
  <si>
    <t>0002_DecodingIntensityStdDev_577F1:77.078;0002_DecodingIntensityStdDev_577F2:183.006;0002_MeanDecodingIntensity_577F1:471.08;0002_MeanDecodingIntensity_577F2:567.24;0002AEB:-;0002DecodingIntensityStdDev:360.495;0002DecodingIntensityStdDev_488:360.495;0002DecodingIntensityStdDev_647:5.133;0002DecodingIntensityStdDev_700:5.168;0002DecodingIntensityStdDev_750:6.535;0002F_on:0.7165;0002FillPercent:016.28;0002KineticInconsistentLower:0;0002KineticInconsistentMetadata:-614.285117968718|2.56;0002MeanDecodingIntensity:1591.78;0002MeanDecodingIntensity_488:1591.78;0002MeanDecodingIntensity_647:34.95;0002MeanDecodingIntensity_700:30.59;0002MeanDecodingIntensity_750:35.58;0002ReflectiveIntensity:13223.59;0002ReflectiveIntensityStdDev:639.250;0002SealTimeEstimate:17.5;0021_DecodingIntensityStdDev_577F1:49.370;0021_DecodingIntensityStdDev_577F2:113.622;0021_MeanDecodingIntensity_577F1:450.24;0021_MeanDecodingIntensity_577F2:523.35;0021AEB:-;0021DecodingIntensityStdDev:91.234;0021DecodingIntensityStdDev_488:23.975;0021DecodingIntensityStdDev_647:91.234;0021DecodingIntensityStdDev_700:10.612;0021DecodingIntensityStdDev_750:6.874;0021F_on:0.7278;0021FillPercent:009.82;0021KineticInconsistentLower:0;0021KineticInconsistentMetadata:-501.286090051575|2.32;0021MeanDecodingIntensity:420.15;0021MeanDecodingIntensity_488:141.40;0021MeanDecodingIntensity_647:420.15;0021MeanDecodingIntensity_700:68.42;0021MeanDecodingIntensity_750:35.61;0021ReflectiveIntensity:12980.37;0021ReflectiveIntensityStdDev:528.446;0021SealTimeEstimate:20.8;0201_DecodingIntensityStdDev_577F1:54.592;0201_DecodingIntensityStdDev_577F2:121.388;0201_MeanDecodingIntensity_577F1:450.64;0201_MeanDecodingIntensity_577F2:523.50;0201AEB:-;0201DecodingIntensityStdDev:131.231;0201DecodingIntensityStdDev_488:29.977;0201DecodingIntensityStdDev_647:23.652;0201DecodingIntensityStdDev_700:131.231;0201DecodingIntensityStdDev_750:12.296;0201F_on:0.7154;0201FillPercent:011.61;0201KineticInconsistentLower:0;0201KineticInconsistentMetadata:-478.511114884379|2.27;0201MeanDecodingIntensity:494.57;0201MeanDecodingIntensity_488:145.12;0201MeanDecodingIntensity_647:99.83;0201MeanDecodingIntensity_700:494.57;0201MeanDecodingIntensity_750:65.36;0201ReflectiveIntensity:13047.87;0201ReflectiveIntensityStdDev:587.047;0201SealTimeEstimate:21.6;2001_DecodingIntensityStdDev_577F1:52.995;2001_DecodingIntensityStdDev_577F2:117.364;2001_MeanDecodingIntensity_577F1:479.42;2001_MeanDecodingIntensity_577F2:552.24;2001AEB:-;2001DecodingIntensityStdDev:243.871;2001DecodingIntensityStdDev_488:28.254;2001DecodingIntensityStdDev_647:5.870;2001DecodingIntensityStdDev_700:6.220;2001DecodingIntensityStdDev_750:243.871;2001F_on:0.7135;2001FillPercent:011.13;2001KineticInconsistentLower:0;2001KineticInconsistentMetadata:-488.629138431649|2.22;2001MeanDecodingIntensity:928.46;2001MeanDecodingIntensity_488:144.17;2001MeanDecodingIntensity_647:38.06;2001MeanDecodingIntensity_700:34.85;2001MeanDecodingIntensity_750:928.46;2001ReflectiveIntensity:13021.40;2001ReflectiveIntensityStdDev:567.825;2001SealTimeEstimate:22.5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13.64;Empties488F1MeanIntensity:72.12;Empties577F1IntensityStdDev:27.13;Empties577F1MeanIntensity:377.93;Empties577F2IntensityStdDev:55.76;Empties577F2MeanIntensity:379.08;Empties647F1IntensityStdDev:4.60;Empties647F1MeanIntensity:31.54;Empties700F1IntensityStdDev:4.73;Empties700F1MeanIntensity:29.64;Empties750F1IntensityStdDev:5.62;Empties750F1MeanIntensity:34.03;EmptiesIGrowth:299.53;EmptiesReflectiveIntensityStdDev:292.70;EmptiesReflectiveMeanIntensity:11765.89;Errors:;F2minusF1Shift:0.0;FluorescenceClassification:Normal;Focus_FracImageLost:0.00;FocusScoresAvg:3.53;FocusScoresImageCenter:4.81;FocusScoresMax:5.34;FocusScoresMedian:3.57;FractionImageDebris:0.1022;FractionWellsDebris:0.1191;ImageQualityScoreIfUnpegged:1.00;IndexingWellsMissingFromFov:0;IndexingWellsTotalLostBothVisibleAndMissing:0;IndexingWellsVisibleInFovButRemoved:0;L1DR time (ms):28260;NetBeadFillRate:34.24;NormalizedFillPercentage:048.83;Notes:Xtalk: usable out of spec wv 577 sr 9 dir 5 value 0.036.;NumberDecSaturated:0;NumberEmpties:51901;NumberFlagged_DeadPixels:69.0000;NumberFlagged_Debris:22945.0000;NumberFlagged_MissingNeighbor:2800.0000;NumberFlagged_OddlyRecurrentClassification:28360.0000;NumberFlagged_OutOfBounds:4212.0000;NumberInvalidWells:48036;NumberPositiveEmpties:147;NumberPositives:75925;NumberResSaturated:0;NumberSaturatedWithoutDebris:0;NumberValidUnclassified:43209.00;NumberValidWells:144635;OddlyAggregatedFlag:2;OddlyAggregatedLocations:;OddlyAggregatedWorst:0;OffsetW488:( 1, 0 );OffsetW577:( 0, 0 );OffsetW647:( 0, 0 );OffsetW700:( 0, 0 );OffsetW750:( 0, 0 );ResorufinUnsaturated:0;ResorufinUnsaturatedMutated:0;ResorufinUnsaturaterNumberInFit:160;SaturatedDecodingWells:0;SuspiciousWells:23405;SuspiciousWellsFlagged:1;SuspiciousWellsLowerThreshold:5;Warnings:;WhiteLightChannelMedian:9893;XtalkSubregionsOutOfSpec:0</t>
  </si>
  <si>
    <t>spikein-1-8-5</t>
  </si>
  <si>
    <t>Plate 2 - Well H5</t>
  </si>
  <si>
    <t>0002_DecodingIntensityStdDev_577F1:108.455;0002_DecodingIntensityStdDev_577F2:222.784;0002_MeanDecodingIntensity_577F1:544.54;0002_MeanDecodingIntensity_577F2:739.49;0002AEB:-;0002DecodingIntensityStdDev:376.521;0002DecodingIntensityStdDev_488:376.521;0002DecodingIntensityStdDev_647:5.128;0002DecodingIntensityStdDev_700:5.028;0002DecodingIntensityStdDev_750:6.350;0002F_on:0.9861;0002FillPercent:014.15;0002KineticInconsistentLower:0;0002KineticInconsistentMetadata:-443.912263156823|2.23;0002MeanDecodingIntensity:1699.09;0002MeanDecodingIntensity_488:1699.09;0002MeanDecodingIntensity_647:35.67;0002MeanDecodingIntensity_700:30.52;0002MeanDecodingIntensity_750:35.42;0002ReflectiveIntensity:13782.98;0002ReflectiveIntensityStdDev:629.643;0002SealTimeEstimate:22.4;0021_DecodingIntensityStdDev_577F1:101.078;0021_DecodingIntensityStdDev_577F2:206.799;0021_MeanDecodingIntensity_577F1:549.42;0021_MeanDecodingIntensity_577F2:758.64;0021AEB:-;0021DecodingIntensityStdDev:93.436;0021DecodingIntensityStdDev_488:23.227;0021DecodingIntensityStdDev_647:93.436;0021DecodingIntensityStdDev_700:10.526;0021DecodingIntensityStdDev_750:6.603;0021F_on:0.9950;0021FillPercent:008.58;0021KineticInconsistentLower:0;0021KineticInconsistentMetadata:-427.640857217184|2.21;0021MeanDecodingIntensity:453.02;0021MeanDecodingIntensity_488:144.37;0021MeanDecodingIntensity_647:453.02;0021MeanDecodingIntensity_700:72.15;0021MeanDecodingIntensity_750:35.38;0021ReflectiveIntensity:13526.02;0021ReflectiveIntensityStdDev:555.791;0021SealTimeEstimate:22.7;0201_DecodingIntensityStdDev_577F1:97.825;0201_DecodingIntensityStdDev_577F2:199.204;0201_MeanDecodingIntensity_577F1:544.06;0201_MeanDecodingIntensity_577F2:746.10;0201AEB:-;0201DecodingIntensityStdDev:121.294;0201DecodingIntensityStdDev_488:28.908;0201DecodingIntensityStdDev_647:22.690;0201DecodingIntensityStdDev_700:121.294;0201DecodingIntensityStdDev_750:11.849;0201F_on:0.9927;0201FillPercent:009.99;0201KineticInconsistentLower:0;0201KineticInconsistentMetadata:-422.722680634117|2.2;0201MeanDecodingIntensity:528.01;0201MeanDecodingIntensity_488:146.70;0201MeanDecodingIntensity_647:103.91;0201MeanDecodingIntensity_700:528.01;0201MeanDecodingIntensity_750:67.10;0201ReflectiveIntensity:13577.62;0201ReflectiveIntensityStdDev:589.288;0201SealTimeEstimate:22.9;2001_DecodingIntensityStdDev_577F1:103.065;2001_DecodingIntensityStdDev_577F2:207.805;2001_MeanDecodingIntensity_577F1:576.75;2001_MeanDecodingIntensity_577F2:778.99;2001AEB:-;2001DecodingIntensityStdDev:250.360;2001DecodingIntensityStdDev_488:31.598;2001DecodingIntensityStdDev_647:6.919;2001DecodingIntensityStdDev_700:6.726;2001DecodingIntensityStdDev_750:250.360;2001F_on:0.9923;2001FillPercent:009.50;2001KineticInconsistentLower:0;2001KineticInconsistentMetadata:-449.415182272074|2.18;2001MeanDecodingIntensity:1031.64;2001MeanDecodingIntensity_488:147.44;2001MeanDecodingIntensity_647:39.23;2001MeanDecodingIntensity_700:35.19;2001MeanDecodingIntensity_750:1031.64;2001ReflectiveIntensity:13575.85;2001ReflectiveIntensityStdDev:592.812;2001SealTimeEstimate:23.3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12.93;Empties488F1MeanIntensity:67.95;Empties577F1IntensityStdDev:34.57;Empties577F1MeanIntensity:340.74;Empties577F2IntensityStdDev:42.73;Empties577F2MeanIntensity:344.47;Empties647F1IntensityStdDev:4.57;Empties647F1MeanIntensity:31.92;Empties700F1IntensityStdDev:4.55;Empties700F1MeanIntensity:29.69;Empties750F1IntensityStdDev:5.62;Empties750F1MeanIntensity:34.18;EmptiesIGrowth:158.71;EmptiesReflectiveIntensityStdDev:382.51;EmptiesReflectiveMeanIntensity:12207.60;Errors:;F2minusF1Shift:-3.0;FittedF2OverF1Intercept:-632.071700267131;FittedF2OverF1Slope:2.20987473754046;FluorescenceClassification:Normal;Focus_FracImageLost:0.00;FocusScoresAvg:3.72;FocusScoresImageCenter:5.01;FocusScoresMax:5.49;FocusScoresMedian:3.72;FractionImageDebris:0.1768;FractionWellsDebris:0.2018;ImageQualityScoreIfUnpegged:1.00;IndexingWellsMissingFromFov:0;IndexingWellsTotalLostBothVisibleAndMissing:0;IndexingWellsVisibleInFovButRemoved:0;L1DR time (ms):26617;NetBeadFillRate:29.63;NormalizedFillPercentage:042.23;Notes:Xtalk: usable out of spec wv 577 sr 8 dir 5 value 0.041.;NumberDecSaturated:1;NumberEmpties:53483;NumberFlagged_DeadPixels:77.0000;NumberFlagged_Debris:38786.0000;NumberFlagged_MissingNeighbor:4233.0000;NumberFlagged_NeighborSaturated:41.0000;NumberFlagged_OddlyRecurrentClassification:30942.0000;NumberFlagged_OutOfBounds:4074.0000;NumberFlagged_SaturatedPixelDecodingFour:01.0000;NumberFlagged_SaturatedPixelResorufinTwo:07.0000;NumberFlagged_SaturationRemoverSuspiciousF1:05.0000;NumberInvalidWells:60237;NumberPositiveEmpties:214;NumberPositives:85751;NumberResSaturated:7;NumberSaturatedWithoutDebris:5;NumberValidUnclassified:39366.00;NumberValidWells:131947;OddlyAggregatedFlag:2;OddlyAggregatedLocations:;OddlyAggregatedWorst:0;OffsetW488:( 0, 0 );OffsetW577:( 0, 0 );OffsetW647:( 0, 0 );OffsetW700:( 0, 0 );OffsetW750:( 0, 0 );ResorufinUnsaturated:1;ResorufinUnsaturatedMutated:1;ResorufinUnsaturatedSuspiciousF1:5;ResorufinUnsaturaterNumberInFit:1061;SaturatedDecodingWells:1;SuspiciousWells:26107;SuspiciousWellsFlagged:1;SuspiciousWellsLowerThreshold:6;Warnings:;WhiteLightChannelMedian:10157;XtalkSubregionsOutOfSpec:0</t>
  </si>
  <si>
    <t>0002_DecodingIntensityStdDev_577F1:100.224;0002_DecodingIntensityStdDev_577F2:211.640;0002_MeanDecodingIntensity_577F1:502.60;0002_MeanDecodingIntensity_577F2:644.43;0002AEB:-;0002DecodingIntensityStdDev:344.946;0002DecodingIntensityStdDev_488:344.946;0002DecodingIntensityStdDev_647:4.804;0002DecodingIntensityStdDev_700:4.769;0002DecodingIntensityStdDev_750:5.923;0002F_on:0.9276;0002FillPercent:014.33;0002KineticInconsistentLower:0;0002KineticInconsistentMetadata:-476.510980183528|2.28;0002MeanDecodingIntensity:1577.50;0002MeanDecodingIntensity_488:1577.50;0002MeanDecodingIntensity_647:34.67;0002MeanDecodingIntensity_700:30.05;0002MeanDecodingIntensity_750:34.76;0002ReflectiveIntensity:13189.66;0002ReflectiveIntensityStdDev:583.694;0002SealTimeEstimate:21.4;0021_DecodingIntensityStdDev_577F1:91.503;0021_DecodingIntensityStdDev_577F2:193.020;0021_MeanDecodingIntensity_577F1:505.45;0021_MeanDecodingIntensity_577F2:658.05;0021AEB:-;0021DecodingIntensityStdDev:90.193;0021DecodingIntensityStdDev_488:20.537;0021DecodingIntensityStdDev_647:90.193;0021DecodingIntensityStdDev_700:10.181;0021DecodingIntensityStdDev_750:6.073;0021F_on:0.9695;0021FillPercent:008.82;0021KineticInconsistentLower:0;0021KineticInconsistentMetadata:-460.724300887833|2.26;0021MeanDecodingIntensity:444.63;0021MeanDecodingIntensity_488:135.15;0021MeanDecodingIntensity_647:444.63;0021MeanDecodingIntensity_700:70.48;0021MeanDecodingIntensity_750:34.90;0021ReflectiveIntensity:12957.45;0021ReflectiveIntensityStdDev:481.866;0021SealTimeEstimate:21.8;0201_DecodingIntensityStdDev_577F1:93.014;0201_DecodingIntensityStdDev_577F2:193.175;0201_MeanDecodingIntensity_577F1:501.25;0201_MeanDecodingIntensity_577F2:648.19;0201AEB:-;0201DecodingIntensityStdDev:109.919;0201DecodingIntensityStdDev_488:23.197;0201DecodingIntensityStdDev_647:16.182;0201DecodingIntensityStdDev_700:109.919;0201DecodingIntensityStdDev_750:10.183;0201F_on:0.9692;0201FillPercent:009.73;0201KineticInconsistentLower:0;0201KineticInconsistentMetadata:-451.897144132604|2.24;0201MeanDecodingIntensity:510.63;0201MeanDecodingIntensity_488:137.25;0201MeanDecodingIntensity_647:100.72;0201MeanDecodingIntensity_700:510.63;0201MeanDecodingIntensity_750:65.22;0201ReflectiveIntensity:12974.99;0201ReflectiveIntensityStdDev:492.147;0201SealTimeEstimate:22.2;2001_DecodingIntensityStdDev_577F1:105.053;2001_DecodingIntensityStdDev_577F2:215.399;2001_MeanDecodingIntensity_577F1:536.14;2001_MeanDecodingIntensity_577F2:685.37;2001AEB:-;2001DecodingIntensityStdDev:233.933;2001DecodingIntensityStdDev_488:22.422;2001DecodingIntensityStdDev_647:5.316;2001DecodingIntensityStdDev_700:5.416;2001DecodingIntensityStdDev_750:233.933;2001F_on:0.9645;2001FillPercent:009.19;2001KineticInconsistentLower:0;2001KineticInconsistentMetadata:-483.017755130925|2.23;2001MeanDecodingIntensity:1040.18;2001MeanDecodingIntensity_488:137.29;2001MeanDecodingIntensity_647:38.23;2001MeanDecodingIntensity_700:34.55;2001MeanDecodingIntensity_750:1040.18;2001ReflectiveIntensity:12993.28;2001ReflectiveIntensityStdDev:517.619;2001SealTimeEstimate:22.4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11.27;Empties488F1MeanIntensity:61.85;Empties577F1IntensityStdDev:44.24;Empties577F1MeanIntensity:360.54;Empties577F2IntensityStdDev:82.19;Empties577F2MeanIntensity:363.08;Empties647F1IntensityStdDev:4.39;Empties647F1MeanIntensity:31.20;Empties700F1IntensityStdDev:4.35;Empties700F1MeanIntensity:29.12;Empties750F1IntensityStdDev:5.28;Empties750F1MeanIntensity:33.48;EmptiesIGrowth:366.50;EmptiesReflectiveIntensityStdDev:276.04;EmptiesReflectiveMeanIntensity:11756.14;Errors:;F2minusF1Shift:-1.0;FittedF2OverF1Intercept:-453.828282287388;FittedF2OverF1Slope:2.06902166095945;FluorescenceClassification:Normal;Focus_FracImageLost:0.00;FocusScoresAvg:3.29;FocusScoresImageCenter:4.74;FocusScoresMax:4.91;FocusScoresMedian:3.40;FractionImageDebris:0.1777;FractionWellsDebris:0.1937;ImageQualityScoreIfUnpegged:1.00;IndexingWellsMissingFromFov:0;IndexingWellsTotalLostBothVisibleAndMissing:0;IndexingWellsVisibleInFovButRemoved:0;L1DR time (ms):27673;NetBeadFillRate:29.52;NormalizedFillPercentage:042.07;Notes:Xtalk: usable out of spec wv 577 sr 4 dir 5 value 0.046. | Xtalk: usable out of spec wv 577 sr 8 dir 5 value 0.041. | Xtalk: usable out of spec wv 488 sr 4 dir 5 value 0.036.;NumberDecSaturated:0;NumberEmpties:57492;NumberFlagged_DeadPixels:81.0000;NumberFlagged_Debris:37214.0000;NumberFlagged_MissingNeighbor:3554.0000;NumberFlagged_NeighborSaturated:18.0000;NumberFlagged_OddlyRecurrentClassification:27478.0000;NumberFlagged_OutOfBounds:3996.0000;NumberFlagged_SaturatedPixelResorufinTwo:03.0000;NumberFlagged_SaturationRemoverSuspiciousF1:03.0000;NumberInvalidWells:50702;NumberPositiveEmpties:209;NumberPositives:84734;NumberResSaturated:3;NumberSaturatedWithoutDebris:3;NumberValidUnclassified:42191.00;NumberValidWells:141441;OddlyAggregatedFlag:2;OddlyAggregatedLocations:;OddlyAggregatedWorst:0;OffsetW488:( 0, 0 );OffsetW577:( 0, 0 );OffsetW647:( 0, 0 );OffsetW700:( 0, 0 );OffsetW750:( 0, -1 );ResorufinUnsaturated:1;ResorufinUnsaturatedMutated:3;ResorufinUnsaturatedSuspiciousF1:3;ResorufinUnsaturaterNumberInFit:525;SaturatedDecodingWells:1;SuspiciousWells:21005;SuspiciousWellsFlagged:1;SuspiciousWellsLowerThreshold:5;Warnings:;WhiteLightChannelMedian:9916;XtalkSubregionsOutOfSpec:0</t>
  </si>
  <si>
    <t>spikein-1-8-6</t>
  </si>
  <si>
    <t>Plate 2 - Well H6</t>
  </si>
  <si>
    <t>0002_DecodingIntensityStdDev_577F1:68.978;0002_DecodingIntensityStdDev_577F2:169.267;0002_MeanDecodingIntensity_577F1:446.20;0002_MeanDecodingIntensity_577F2:517.22;0002AEB:00.4696;0002DecodingIntensityStdDev:362.772;0002DecodingIntensityStdDev_488:362.772;0002DecodingIntensityStdDev_647:5.045;0002DecodingIntensityStdDev_700:5.077;0002DecodingIntensityStdDev_750:6.420;0002F_on:0.3748;0002FillPercent:017.01;0002KineticInconsistentLower:0;0002KineticInconsistentMetadata:-686.593478881222|2.76;0002MeanDecodingIntensity:1562.97;0002MeanDecodingIntensity_488:1562.97;0002MeanDecodingIntensity_647:34.52;0002MeanDecodingIntensity_700:30.23;0002MeanDecodingIntensity_750:35.12;0002ReflectiveIntensity:13309.65;0002ReflectiveIntensityStdDev:620.380;0002SealTimeEstimate:15.4;0021_DecodingIntensityStdDev_577F1:43.553;0021_DecodingIntensityStdDev_577F2:100.521;0021_MeanDecodingIntensity_577F1:424.18;0021_MeanDecodingIntensity_577F2:468.01;0021AEB:00.3893;0021DecodingIntensityStdDev:90.753;0021DecodingIntensityStdDev_488:24.387;0021DecodingIntensityStdDev_647:90.753;0021DecodingIntensityStdDev_700:10.590;0021DecodingIntensityStdDev_750:6.915;0021F_on:0.3225;0021FillPercent:010.40;0021KineticInconsistentLower:0;0021KineticInconsistentMetadata:-518.773716148648|2.39;0021MeanDecodingIntensity:415.40;0021MeanDecodingIntensity_488:136.25;0021MeanDecodingIntensity_647:415.40;0021MeanDecodingIntensity_700:67.59;0021MeanDecodingIntensity_750:35.40;0021ReflectiveIntensity:13075.71;0021ReflectiveIntensityStdDev:507.374;0021SealTimeEstimate:19.7;0201_DecodingIntensityStdDev_577F1:42.410;0201_DecodingIntensityStdDev_577F2:94.582;0201_MeanDecodingIntensity_577F1:425.12;0201_MeanDecodingIntensity_577F2:469.05;0201AEB:00.3304;0201DecodingIntensityStdDev:132.393;0201DecodingIntensityStdDev_488:35.429;0201DecodingIntensityStdDev_647:37.561;0201DecodingIntensityStdDev_700:132.393;0201DecodingIntensityStdDev_750:13.124;0201F_on:0.2814;0201FillPercent:012.25;0201KineticInconsistentLower:0;0201KineticInconsistentMetadata:-510.072241377988|2.37;0201MeanDecodingIntensity:496.43;0201MeanDecodingIntensity_488:141.60;0201MeanDecodingIntensity_647:102.33;0201MeanDecodingIntensity_700:496.43;0201MeanDecodingIntensity_750:64.85;0201ReflectiveIntensity:13164.41;0201ReflectiveIntensityStdDev:583.272;0201SealTimeEstimate:20.0;2001_DecodingIntensityStdDev_577F1:43.334;2001_DecodingIntensityStdDev_577F2:91.774;2001_MeanDecodingIntensity_577F1:453.53;2001_MeanDecodingIntensity_577F2:495.45;2001AEB:00.3315;2001DecodingIntensityStdDev:256.317;2001DecodingIntensityStdDev_488:56.401;2001DecodingIntensityStdDev_647:7.820;2001DecodingIntensityStdDev_700:7.079;2001DecodingIntensityStdDev_750:256.317;2001F_on:0.2821;2001FillPercent:011.64;2001KineticInconsistentLower:0;2001KineticInconsistentMetadata:-477.690671759381|2.22;2001MeanDecodingIntensity:937.40;2001MeanDecodingIntensity_488:143.04;2001MeanDecodingIntensity_647:37.95;2001MeanDecodingIntensity_700:34.54;2001MeanDecodingIntensity_750:937.40;2001ReflectiveIntensity:13148.02;2001ReflectiveIntensityStdDev:573.730;2001SealTimeEstimate:22.5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12.80;Empties488F1MeanIntensity:67.05;Empties577F1IntensityStdDev:21.11;Empties577F1MeanIntensity:376.25;Empties577F2IntensityStdDev:40.67;Empties577F2MeanIntensity:375.89;Empties647F1IntensityStdDev:4.39;Empties647F1MeanIntensity:31.14;Empties700F1IntensityStdDev:4.47;Empties700F1MeanIntensity:29.18;Empties750F1IntensityStdDev:5.38;Empties750F1MeanIntensity:33.53;EmptiesIGrowth:249.34;EmptiesReflectiveIntensityStdDev:317.24;EmptiesReflectiveMeanIntensity:11891.20;Errors:;F2minusF1Shift:-3.9;FluorescenceClassification:Normal;Focus_FracImageLost:0.00;FocusScoresAvg:3.84;FocusScoresImageCenter:4.93;FocusScoresMax:5.56;FocusScoresMedian:3.86;FractionImageDebris:0.0959;FractionWellsDebris:0.1073;ImageQualityScoreIfUnpegged:1.00;IndexingWellsMissingFromFov:0;IndexingWellsTotalLostBothVisibleAndMissing:0;IndexingWellsVisibleInFovButRemoved:0;L1DR time (ms):26891;NetBeadFillRate:35.98;NormalizedFillPercentage:051.30;Notes:;NumberDecSaturated:2;NumberEmpties:53192;NumberFlagged_DeadPixels:79.0000;NumberFlagged_Debris:20636.0000;NumberFlagged_MissingNeighbor:3323.0000;NumberFlagged_NeighborSaturated:22.0000;NumberFlagged_OddlyRecurrentClassification:17819.0000;NumberFlagged_OutOfBounds:4148.0000;NumberFlagged_SaturatedPixelDecodingFour:02.0000;NumberFlagged_SaturatedPixelResorufinTwo:02.0000;NumberInvalidWells:36608;NumberPositiveEmpties:234;NumberPositives:47290;NumberResSaturated:2;NumberSaturatedWithoutDebris:4;NumberValidUnclassified:46476.00;NumberValidWells:155693;OddlyAggregatedFlag:2;OddlyAggregatedLocations:;OddlyAggregatedWorst:0;OffsetW488:( 1, 0 );OffsetW577:( 0, 0 );OffsetW647:( 0, 0 );OffsetW700:( 0, 0 );OffsetW750:( 0, -1 );ResorufinUnsaturated:0;ResorufinUnsaturatedMutated:0;ResorufinUnsaturaterNumberInFit:67;SaturatedDecodingWells:3;SuspiciousWells:26446;SuspiciousWellsFlagged:1;SuspiciousWellsLowerThreshold:6;Warnings:;WhiteLightChannelMedian:9882;XtalkSubregionsOutOfSpec:0</t>
  </si>
  <si>
    <t>0002_DecodingIntensityStdDev_577F1:76.296;0002_DecodingIntensityStdDev_577F2:184.871;0002_MeanDecodingIntensity_577F1:450.51;0002_MeanDecodingIntensity_577F2:518.62;0002AEB:00.4552;0002DecodingIntensityStdDev:387.749;0002DecodingIntensityStdDev_488:387.749;0002DecodingIntensityStdDev_647:5.401;0002DecodingIntensityStdDev_700:5.480;0002DecodingIntensityStdDev_750:7.036;0002F_on:0.3657;0002FillPercent:017.15;0002KineticInconsistentLower:0;0002KineticInconsistentMetadata:-686.343415553259|2.74;0002MeanDecodingIntensity:1664.61;0002MeanDecodingIntensity_488:1664.61;0002MeanDecodingIntensity_647:35.40;0002MeanDecodingIntensity_700:31.00;0002MeanDecodingIntensity_750:36.23;0002ReflectiveIntensity:13541.82;0002ReflectiveIntensityStdDev:661.242;0002SealTimeEstimate:15.6;0021_DecodingIntensityStdDev_577F1:48.290;0021_DecodingIntensityStdDev_577F2:112.100;0021_MeanDecodingIntensity_577F1:426.91;0021_MeanDecodingIntensity_577F2:466.52;0021AEB:00.2822;0021DecodingIntensityStdDev:98.762;0021DecodingIntensityStdDev_488:27.425;0021DecodingIntensityStdDev_647:98.762;0021DecodingIntensityStdDev_700:11.643;0021DecodingIntensityStdDev_750:7.987;0021F_on:0.2459;0021FillPercent:010.76;0021KineticInconsistentLower:0;0021KineticInconsistentMetadata:-514.313718178838|2.37;0021MeanDecodingIntensity:435.50;0021MeanDecodingIntensity_488:146.91;0021MeanDecodingIntensity_647:435.50;0021MeanDecodingIntensity_700:70.28;0021MeanDecodingIntensity_750:36.78;0021ReflectiveIntensity:13296.78;0021ReflectiveIntensityStdDev:564.726;0021SealTimeEstimate:20.0;0201_DecodingIntensityStdDev_577F1:47.445;0201_DecodingIntensityStdDev_577F2:101.608;0201_MeanDecodingIntensity_577F1:429.15;0201_MeanDecodingIntensity_577F2:468.90;0201AEB:00.3066;0201DecodingIntensityStdDev:147.081;0201DecodingIntensityStdDev_488:59.083;0201DecodingIntensityStdDev_647:55.957;0201DecodingIntensityStdDev_700:147.081;0201DecodingIntensityStdDev_750:17.051;0201F_on:0.2641;0201FillPercent:013.24;0201KineticInconsistentLower:0;0201KineticInconsistentMetadata:-470.347359067962|2.26;0201MeanDecodingIntensity:520.74;0201MeanDecodingIntensity_488:156.18;0201MeanDecodingIntensity_647:111.06;0201MeanDecodingIntensity_700:520.74;0201MeanDecodingIntensity_750:67.62;0201ReflectiveIntensity:13417.75;0201ReflectiveIntensityStdDev:657.717;0201SealTimeEstimate:21.8;2001_DecodingIntensityStdDev_577F1:51.777;2001_DecodingIntensityStdDev_577F2:108.718;2001_MeanDecodingIntensity_577F1:458.86;2001_MeanDecodingIntensity_577F2:497.93;2001AEB:00.2752;2001DecodingIntensityStdDev:281.913;2001DecodingIntensityStdDev_488:98.488;2001DecodingIntensityStdDev_647:13.845;2001DecodingIntensityStdDev_700:8.583;2001DecodingIntensityStdDev_750:281.913;2001F_on:0.2406;2001FillPercent:012.29;2001KineticInconsistentLower:0;2001KineticInconsistentMetadata:-475.309876872461|2.2;2001MeanDecodingIntensity:960.21;2001MeanDecodingIntensity_488:162.41;2001MeanDecodingIntensity_647:39.55;2001MeanDecodingIntensity_700:35.79;2001MeanDecodingIntensity_750:960.21;2001ReflectiveIntensity:13388.25;2001ReflectiveIntensityStdDev:645.863;2001SealTimeEstimate:22.9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14.72;Empties488F1MeanIntensity:73.90;Empties577F1IntensityStdDev:21.68;Empties577F1MeanIntensity:379.77;Empties577F2IntensityStdDev:37.79;Empties577F2MeanIntensity:379.36;Empties647F1IntensityStdDev:4.73;Empties647F1MeanIntensity:31.62;Empties700F1IntensityStdDev:4.90;Empties700F1MeanIntensity:29.80;Empties750F1IntensityStdDev:6.03;Empties750F1MeanIntensity:34.37;EmptiesIGrowth:308.97;EmptiesReflectiveIntensityStdDev:347.86;EmptiesReflectiveMeanIntensity:12029.08;Errors:;F2minusF1Shift:-3.3;FluorescenceClassification:Normal;Focus_FracImageLost:0.00;FocusScoresAvg:3.92;FocusScoresImageCenter:4.88;FocusScoresMax:5.19;FocusScoresMedian:3.89;FractionImageDebris:0.0815;FractionWellsDebris:0.0928;ImageQualityScoreIfUnpegged:1.00;IndexingWellsMissingFromFov:0;IndexingWellsTotalLostBothVisibleAndMissing:0;IndexingWellsVisibleInFovButRemoved:0;L1DR time (ms):26794;NetBeadFillRate:37.48;NormalizedFillPercentage:053.44;Notes:Xtalk: usable out of spec wv 577 sr 0 dir 0 value 0.036. | Xtalk: usable out of spec wv 577 sr 4 dir 5 value 0.038.;NumberDecSaturated:0;NumberEmpties:53566;NumberFlagged_DeadPixels:77.0000;NumberFlagged_Debris:17856.0000;NumberFlagged_MissingNeighbor:2849.0000;NumberFlagged_NeighborSaturated:14.0000;NumberFlagged_OddlyRecurrentClassification:12888.0000;NumberFlagged_OutOfBounds:4198.0000;NumberFlagged_SaturatedPixelResorufinTwo:04.0000;NumberInvalidWells:28406;NumberPositiveEmpties:132;NumberPositives:43175;NumberResSaturated:4;NumberSaturatedWithoutDebris:0;NumberValidUnclassified:48960.00;NumberValidWells:164002;OddlyAggregatedFlag:2;OddlyAggregatedLocations:;OddlyAggregatedWorst:0;OffsetW488:( 0, 0 );OffsetW577:( 0, 0 );OffsetW647:( 0, 0 );OffsetW700:( 0, 0 );OffsetW750:( 0, -1 );ResorufinUnsaturated:0;ResorufinUnsaturatedMutated:0;ResorufinUnsaturaterNumberInFit:107;SaturatedDecodingWells:1;SuspiciousWells:23800;SuspiciousWellsFlagged:1;SuspiciousWellsLowerThreshold:7;Warnings:;WhiteLightChannelMedian:10086;XtalkSubregionsOutOfSpec:0</t>
  </si>
  <si>
    <t>spikein-high-1-2-1</t>
  </si>
  <si>
    <t>Plate 2 - Well A7</t>
  </si>
  <si>
    <t>0002_DecodingIntensityStdDev_577F1:87.833;0002_DecodingIntensityStdDev_577F2:191.815;0002_MeanDecodingIntensity_577F1:428.87;0002_MeanDecodingIntensity_577F2:472.33;0002AEB:00.2043;0002DecodingIntensityStdDev:337.533;0002DecodingIntensityStdDev_488:337.533;0002DecodingIntensityStdDev_647:4.798;0002DecodingIntensityStdDev_700:4.615;0002DecodingIntensityStdDev_750:5.770;0002F_on:0.1848;0002FillPercent:012.83;0002KineticInconsistentLower:0;0002KineticInconsistentMetadata:-522.719420100891|2.38;0002MeanDecodingIntensity:1643.26;0002MeanDecodingIntensity_488:1643.26;0002MeanDecodingIntensity_647:35.14;0002MeanDecodingIntensity_700:30.16;0002MeanDecodingIntensity_750:34.86;0002ReflectiveIntensity:13506.51;0002ReflectiveIntensityStdDev:628.179;0002SealTimeEstimate:19.8;0021_DecodingIntensityStdDev_577F1:42.156;0021_DecodingIntensityStdDev_577F2:86.171;0021_MeanDecodingIntensity_577F1:396.29;0021_MeanDecodingIntensity_577F2:404.17;0021AEB:00.0189;0021DecodingIntensityStdDev:87.361;0021DecodingIntensityStdDev_488:22.345;0021DecodingIntensityStdDev_647:87.361;0021DecodingIntensityStdDev_700:10.083;0021DecodingIntensityStdDev_750:6.074;0021F_on:0.0187;0021FillPercent:007.70;0021KineticInconsistentLower:0;0021KineticInconsistentMetadata:-527.333160792034|2.39;0021MeanDecodingIntensity:448.02;0021MeanDecodingIntensity_488:147.72;0021MeanDecodingIntensity_647:448.02;0021MeanDecodingIntensity_700:71.12;0021MeanDecodingIntensity_750:34.91;0021ReflectiveIntensity:13280.28;0021ReflectiveIntensityStdDev:552.761;0021SealTimeEstimate:19.7;0201_DecodingIntensityStdDev_577F1:35.917;0201_DecodingIntensityStdDev_577F2:70.034;0201_MeanDecodingIntensity_577F1:394.71;0201_MeanDecodingIntensity_577F2:402.06;0201AEB:00.0212;0201DecodingIntensityStdDev:107.065;0201DecodingIntensityStdDev_488:23.995;0201DecodingIntensityStdDev_647:15.735;0201DecodingIntensityStdDev_700:107.065;0201DecodingIntensityStdDev_750:10.267;0201F_on:0.0209;0201FillPercent:008.91;0201KineticInconsistentLower:0;0201KineticInconsistentMetadata:-534.029502826234|2.41;0201MeanDecodingIntensity:524.71;0201MeanDecodingIntensity_488:148.55;0201MeanDecodingIntensity_647:101.05;0201MeanDecodingIntensity_700:524.71;0201MeanDecodingIntensity_750:65.77;0201ReflectiveIntensity:13298.48;0201ReflectiveIntensityStdDev:564.318;0201SealTimeEstimate:19.4;2001_DecodingIntensityStdDev_577F1:43.264;2001_DecodingIntensityStdDev_577F2:84.139;2001_MeanDecodingIntensity_577F1:428.67;2001_MeanDecodingIntensity_577F2:437.20;2001AEB:00.0234;2001DecodingIntensityStdDev:223.437;2001DecodingIntensityStdDev_488:23.820;2001DecodingIntensityStdDev_647:5.322;2001DecodingIntensityStdDev_700:5.289;2001DecodingIntensityStdDev_750:223.437;2001F_on:0.0232;2001FillPercent:008.43;2001KineticInconsistentLower:0;2001KineticInconsistentMetadata:-537.277899438017|2.35;2001MeanDecodingIntensity:1036.35;2001MeanDecodingIntensity_488:148.69;2001MeanDecodingIntensity_647:38.44;2001MeanDecodingIntensity_700:34.47;2001MeanDecodingIntensity_750:1036.35;2001ReflectiveIntensity:13309.42;2001ReflectiveIntensityStdDev:586.185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11.80;Empties488F1MeanIntensity:69.09;Empties577F1IntensityStdDev:20.29;Empties577F1MeanIntensity:361.25;Empties577F2IntensityStdDev:26.72;Empties577F2MeanIntensity:360.01;Empties647F1IntensityStdDev:4.33;Empties647F1MeanIntensity:31.70;Empties700F1IntensityStdDev:4.24;Empties700F1MeanIntensity:29.37;Empties750F1IntensityStdDev:5.14;Empties750F1MeanIntensity:33.76;EmptiesIGrowth:463.26;EmptiesReflectiveIntensityStdDev:394.14;EmptiesReflectiveMeanIntensity:12017.72;Errors:;F2minusF1Shift:-0.1;FluorescenceClassification:Normal;Focus_FracImageLost:0.00;FocusScoresAvg:3.57;FocusScoresImageCenter:4.85;FocusScoresMax:5.35;FocusScoresMedian:3.57;FractionImageDebris:0.0618;FractionWellsDebris:0.0692;ImageQualityScoreIfUnpegged:1.00;IndexingWellsMissingFromFov:0;IndexingWellsTotalLostBothVisibleAndMissing:0;IndexingWellsVisibleInFovButRemoved:0;L1DR time (ms):28763;NetBeadFillRate:26.61;NormalizedFillPercentage:037.88;Notes:Xtalk: usable out of spec wv 577 sr 4 dir 5 value 0.036. | Xtalk: usable out of spec wv 577 sr 8 dir 5 value 0.038.;NumberDecSaturated:0;NumberEmpties:76325;NumberFlagged_DeadPixels:82.0000;NumberFlagged_Debris:13322.0000;NumberFlagged_MissingNeighbor:2388.0000;NumberFlagged_OutOfBounds:4220.0000;NumberInvalidWells:17555;NumberPositiveEmpties:29;NumberPositives:6979;NumberResSaturated:0;NumberSaturatedWithoutDebris:0;NumberValidUnclassified:52046.00;NumberValidWells:174906;OddlyAggregatedFlag:2;OddlyAggregatedLocations:;OddlyAggregatedWorst:0;OffsetW488:( 1, 0 );OffsetW577:( 0, 0 );OffsetW647:( 0, 0 );OffsetW700:( 0, 0 );OffsetW750:( 1, -1 );ResorufinUnsaturated:0;ResorufinUnsaturatedMutated:0;ResorufinUnsaturaterNumberInFit:120;SaturatedDecodingWells:1;SuspiciousWells:25932;SuspiciousWellsFlagged:1;SuspiciousWellsLowerThreshold:5;Warnings:;WhiteLightChannelMedian:9983;XtalkSubregionsOutOfSpec:0</t>
  </si>
  <si>
    <t>0002_DecodingIntensityStdDev_577F1:86.999;0002_DecodingIntensityStdDev_577F2:191.212;0002_MeanDecodingIntensity_577F1:428.68;0002_MeanDecodingIntensity_577F2:472.46;0002AEB:00.2098;0002DecodingIntensityStdDev:352.439;0002DecodingIntensityStdDev_488:352.439;0002DecodingIntensityStdDev_647:4.998;0002DecodingIntensityStdDev_700:4.899;0002DecodingIntensityStdDev_750:6.217;0002F_on:0.1892;0002FillPercent:014.61;0002KineticInconsistentLower:0;0002KineticInconsistentMetadata:-522.259127590483|2.39;0002MeanDecodingIntensity:1653.90;0002MeanDecodingIntensity_488:1653.90;0002MeanDecodingIntensity_647:35.15;0002MeanDecodingIntensity_700:30.36;0002MeanDecodingIntensity_750:35.39;0002ReflectiveIntensity:13486.29;0002ReflectiveIntensityStdDev:679.464;0002SealTimeEstimate:19.7;0021_DecodingIntensityStdDev_577F1:53.869;0021_DecodingIntensityStdDev_577F2:113.043;0021_MeanDecodingIntensity_577F1:397.26;0021_MeanDecodingIntensity_577F2:406.91;0021AEB:00.0259;0021DecodingIntensityStdDev:85.955;0021DecodingIntensityStdDev_488:22.953;0021DecodingIntensityStdDev_647:85.955;0021DecodingIntensityStdDev_700:10.100;0021DecodingIntensityStdDev_750:6.506;0021F_on:0.0256;0021FillPercent:008.76;0021KineticInconsistentLower:0;0021KineticInconsistentMetadata:-528.742654569287|2.43;0021MeanDecodingIntensity:437.15;0021MeanDecodingIntensity_488:146.06;0021MeanDecodingIntensity_647:437.15;0021MeanDecodingIntensity_700:70.10;0021MeanDecodingIntensity_750:35.49;0021ReflectiveIntensity:13218.35;0021ReflectiveIntensityStdDev:585.876;0021SealTimeEstimate:19.1;0201_DecodingIntensityStdDev_577F1:40.539;0201_DecodingIntensityStdDev_577F2:80.104;0201_MeanDecodingIntensity_577F1:396.06;0201_MeanDecodingIntensity_577F2:404.73;0201AEB:00.0239;0201DecodingIntensityStdDev:119.636;0201DecodingIntensityStdDev_488:27.181;0201DecodingIntensityStdDev_647:21.474;0201DecodingIntensityStdDev_700:119.636;0201DecodingIntensityStdDev_750:11.432;0201F_on:0.0236;0201FillPercent:010.25;0201KineticInconsistentLower:0;0201KineticInconsistentMetadata:-546.117058508466|2.46;0201MeanDecodingIntensity:515.78;0201MeanDecodingIntensity_488:148.95;0201MeanDecodingIntensity_647:101.03;0201MeanDecodingIntensity_700:515.78;0201MeanDecodingIntensity_750:66.17;0201ReflectiveIntensity:13281.55;0201ReflectiveIntensityStdDev:608.651;0201SealTimeEstimate:18.7;2001_DecodingIntensityStdDev_577F1:45.662;2001_DecodingIntensityStdDev_577F2:88.975;2001_MeanDecodingIntensity_577F1:428.17;2001_MeanDecodingIntensity_577F2:438.05;2001AEB:00.0265;2001DecodingIntensityStdDev:241.475;2001DecodingIntensityStdDev_488:27.232;2001DecodingIntensityStdDev_647:5.718;2001DecodingIntensityStdDev_700:6.023;2001DecodingIntensityStdDev_750:241.475;2001F_on:0.0261;2001FillPercent:009.78;2001KineticInconsistentLower:0;2001KineticInconsistentMetadata:-571.555512146572|2.42;2001MeanDecodingIntensity:988.73;2001MeanDecodingIntensity_488:148.28;2001MeanDecodingIntensity_647:38.45;2001MeanDecodingIntensity_700:34.85;2001MeanDecodingIntensity_750:988.73;2001ReflectiveIntensity:13267.41;2001ReflectiveIntensityStdDev:620.563;2001SealTimeEstimate:19.2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12.95;Empties488F1MeanIntensity:69.73;Empties577F1IntensityStdDev:27.84;Empties577F1MeanIntensity:359.11;Empties577F2IntensityStdDev:33.63;Empties577F2MeanIntensity:358.44;Empties647F1IntensityStdDev:4.49;Empties647F1MeanIntensity:31.55;Empties700F1IntensityStdDev:4.52;Empties700F1MeanIntensity:29.49;Empties750F1IntensityStdDev:5.42;Empties750F1MeanIntensity:33.96;EmptiesIGrowth:489.87;EmptiesReflectiveIntensityStdDev:391.19;EmptiesReflectiveMeanIntensity:11931.58;Errors:;F2minusF1Shift:-1.1;FluorescenceClassification:Normal;Focus_FracImageLost:0.00;FocusScoresAvg:3.69;FocusScoresImageCenter:4.66;FocusScoresMax:5.19;FocusScoresMedian:3.69;FractionImageDebris:0.0493;FractionWellsDebris:0.0572;ImageQualityScoreIfUnpegged:1.00;IndexingWellsMissingFromFov:0;IndexingWellsTotalLostBothVisibleAndMissing:0;IndexingWellsVisibleInFovButRemoved:0;L1DR time (ms):27547;NetBeadFillRate:30.46;NormalizedFillPercentage:043.40;Notes:Xtalk: usable out of spec wv 577 sr 4 dir 5 value 0.041. | Xtalk: usable out of spec wv 577 sr 8 dir 5 value 0.038.;NumberDecSaturated:0;NumberEmpties:70193;NumberFlagged_DeadPixels:73.0000;NumberFlagged_Debris:11000.0000;NumberFlagged_MissingNeighbor:2795.0000;NumberFlagged_OutOfBounds:4116.0000;NumberInvalidWells:15717;NumberPositiveEmpties:26;NumberPositives:8348;NumberResSaturated:0;NumberSaturatedWithoutDebris:0;NumberValidUnclassified:52664.00;NumberValidWells:176673;OddlyAggregatedFlag:2;OddlyAggregatedLocations:;OddlyAggregatedWorst:0;OffsetW488:( 1, 0 );OffsetW577:( 0, 0 );OffsetW647:( 0, 0 );OffsetW700:( 0, -1 );OffsetW750:( 1, -1 );ResorufinUnsaturated:0;ResorufinUnsaturatedMutated:0;ResorufinUnsaturaterNumberInFit:92;SaturatedDecodingWells:0;SuspiciousWells:28939;SuspiciousWellsFlagged:1;SuspiciousWellsLowerThreshold:5;Warnings:;WhiteLightChannelMedian:9944;XtalkSubregionsOutOfSpec:0</t>
  </si>
  <si>
    <t>0002_DecodingIntensityStdDev_577F1:87.413;0002_DecodingIntensityStdDev_577F2:189.231;0002_MeanDecodingIntensity_577F1:432.08;0002_MeanDecodingIntensity_577F2:475.16;0002AEB:00.2061;0002DecodingIntensityStdDev:342.870;0002DecodingIntensityStdDev_488:342.870;0002DecodingIntensityStdDev_647:5.097;0002DecodingIntensityStdDev_700:5.043;0002DecodingIntensityStdDev_750:6.414;0002F_on:0.1863;0002FillPercent:015.82;0002KineticInconsistentLower:0;0002KineticInconsistentMetadata:-523.234583345666|2.37;0002MeanDecodingIntensity:1646.78;0002MeanDecodingIntensity_488:1646.78;0002MeanDecodingIntensity_647:35.28;0002MeanDecodingIntensity_700:30.55;0002MeanDecodingIntensity_750:35.57;0002ReflectiveIntensity:13501.88;0002ReflectiveIntensityStdDev:641.286;0002SealTimeEstimate:20.0;0021_DecodingIntensityStdDev_577F1:44.931;0021_DecodingIntensityStdDev_577F2:89.730;0021_MeanDecodingIntensity_577F1:399.63;0021_MeanDecodingIntensity_577F2:408.63;0021AEB:00.0262;0021DecodingIntensityStdDev:86.722;0021DecodingIntensityStdDev_488:23.731;0021DecodingIntensityStdDev_647:86.722;0021DecodingIntensityStdDev_700:10.472;0021DecodingIntensityStdDev_750:6.838;0021F_on:0.0259;0021FillPercent:009.68;0021KineticInconsistentLower:0;0021KineticInconsistentMetadata:-513.971457567505|2.36;0021MeanDecodingIntensity:444.77;0021MeanDecodingIntensity_488:147.74;0021MeanDecodingIntensity_647:444.77;0021MeanDecodingIntensity_700:71.00;0021MeanDecodingIntensity_750:35.74;0021ReflectiveIntensity:13254.73;0021ReflectiveIntensityStdDev:563.040;0021SealTimeEstimate:20.1;0201_DecodingIntensityStdDev_577F1:47.425;0201_DecodingIntensityStdDev_577F2:94.741;0201_MeanDecodingIntensity_577F1:400.30;0201_MeanDecodingIntensity_577F2:409.96;0201AEB:00.0280;0201DecodingIntensityStdDev:125.540;0201DecodingIntensityStdDev_488:32.227;0201DecodingIntensityStdDev_647:30.185;0201DecodingIntensityStdDev_700:125.540;0201DecodingIntensityStdDev_750:12.861;0201F_on:0.0276;0201FillPercent:011.47;0201KineticInconsistentLower:0;0201KineticInconsistentMetadata:-549.238497501334|2.42;0201MeanDecodingIntensity:520.97;0201MeanDecodingIntensity_488:151.35;0201MeanDecodingIntensity_647:104.19;0201MeanDecodingIntensity_700:520.97;0201MeanDecodingIntensity_750:67.17;0201ReflectiveIntensity:13335.85;0201ReflectiveIntensityStdDev:603.620;0201SealTimeEstimate:19.2;2001_DecodingIntensityStdDev_577F1:55.850;2001_DecodingIntensityStdDev_577F2:109.220;2001_MeanDecodingIntensity_577F1:432.28;2001_MeanDecodingIntensity_577F2:441.16;2001AEB:00.0238;2001DecodingIntensityStdDev:246.258;2001DecodingIntensityStdDev_488:33.802;2001DecodingIntensityStdDev_647:6.011;2001DecodingIntensityStdDev_700:6.228;2001DecodingIntensityStdDev_750:246.258;2001F_on:0.0235;2001FillPercent:010.91;2001KineticInconsistentLower:0;2001KineticInconsistentMetadata:-563.949492573937|2.38;2001MeanDecodingIntensity:1035.19;2001MeanDecodingIntensity_488:150.62;2001MeanDecodingIntensity_647:38.67;2001MeanDecodingIntensity_700:35.10;2001MeanDecodingIntensity_750:1035.19;2001ReflectiveIntensity:13308.34;2001ReflectiveIntensityStdDev:587.888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12.83;Empties488F1MeanIntensity:68.38;Empties577F1IntensityStdDev:24.56;Empties577F1MeanIntensity:363.79;Empties577F2IntensityStdDev:36.43;Empties577F2MeanIntensity:362.49;Empties647F1IntensityStdDev:4.57;Empties647F1MeanIntensity:31.55;Empties700F1IntensityStdDev:4.63;Empties700F1MeanIntensity:29.53;Empties750F1IntensityStdDev:5.55;Empties750F1MeanIntensity:33.99;EmptiesIGrowth:548.97;EmptiesReflectiveIntensityStdDev:359.41;EmptiesReflectiveMeanIntensity:11961.08;Errors:;F2minusF1Shift:-0.2;FluorescenceClassification:Normal;Focus_FracImageLost:0.00;FocusScoresAvg:3.78;FocusScoresImageCenter:4.87;FocusScoresMax:5.24;FocusScoresMedian:3.82;FractionImageDebris:0.0608;FractionWellsDebris:0.0684;ImageQualityScoreIfUnpegged:1.00;IndexingWellsMissingFromFov:0;IndexingWellsTotalLostBothVisibleAndMissing:0;IndexingWellsVisibleInFovButRemoved:0;L1DR time (ms):28238;NetBeadFillRate:33.59;NormalizedFillPercentage:047.87;Notes:;NumberDecSaturated:0;NumberEmpties:63886;NumberFlagged_DeadPixels:80.0000;NumberFlagged_Debris:13172.0000;NumberFlagged_MissingNeighbor:2823.0000;NumberFlagged_OutOfBounds:4152.0000;NumberInvalidWells:17756;NumberPositiveEmpties:41;NumberPositives:9566;NumberResSaturated:0;NumberSaturatedWithoutDebris:0;NumberValidUnclassified:52120.00;NumberValidWells:174679;OddlyAggregatedFlag:2;OddlyAggregatedLocations:;OddlyAggregatedWorst:0;OffsetW488:( 1, 0 );OffsetW577:( 0, 0 );OffsetW647:( 0, 0 );OffsetW700:( 0, 0 );OffsetW750:( 1, -1 );ResorufinUnsaturated:0;ResorufinUnsaturatedMutated:0;ResorufinUnsaturaterNumberInFit:144;SaturatedDecodingWells:0;SuspiciousWells:26104;SuspiciousWellsFlagged:1;SuspiciousWellsLowerThreshold:6;Warnings:;WhiteLightChannelMedian:9960;XtalkSubregionsOutOfSpec:0</t>
  </si>
  <si>
    <t>spikein-high-1-2-2</t>
  </si>
  <si>
    <t>Plate 2 - Well B7</t>
  </si>
  <si>
    <t>0002_DecodingIntensityStdDev_577F1:56.048;0002_DecodingIntensityStdDev_577F2:161.178;0002_MeanDecodingIntensity_577F1:432.90;0002_MeanDecodingIntensity_577F2:475.23;0002AEB:00.2038;0002DecodingIntensityStdDev:371.117;0002DecodingIntensityStdDev_488:371.117;0002DecodingIntensityStdDev_647:5.332;0002DecodingIntensityStdDev_700:5.503;0002DecodingIntensityStdDev_750:6.954;0002F_on:0.1843;0002FillPercent:017.33;0002KineticInconsistentLower:0;0002KineticInconsistentMetadata:-887.037090630898|3.24;0002MeanDecodingIntensity:1567.34;0002MeanDecodingIntensity_488:1567.34;0002MeanDecodingIntensity_647:35.17;0002MeanDecodingIntensity_700:30.96;0002MeanDecodingIntensity_750:36.13;0002ReflectiveIntensity:13515.73;0002ReflectiveIntensityStdDev:615.655;0002SealTimeEstimate:12.0;0021_DecodingIntensityStdDev_577F1:31.814;0021_DecodingIntensityStdDev_577F2:81.360;0021_MeanDecodingIntensity_577F1:411.97;0021_MeanDecodingIntensity_577F2:420.43;0021AEB:00.0302;0021DecodingIntensityStdDev:88.697;0021DecodingIntensityStdDev_488:27.062;0021DecodingIntensityStdDev_647:88.697;0021DecodingIntensityStdDev_700:10.897;0021DecodingIntensityStdDev_750:7.505;0021F_on:0.0298;0021FillPercent:010.69;0021KineticInconsistentLower:0;0021KineticInconsistentMetadata:-960.82894355328|3.41;0021MeanDecodingIntensity:413.90;0021MeanDecodingIntensity_488:146.91;0021MeanDecodingIntensity_647:413.90;0021MeanDecodingIntensity_700:68.24;0021MeanDecodingIntensity_750:36.39;0021ReflectiveIntensity:13296.60;0021ReflectiveIntensityStdDev:527.186;0021SealTimeEstimate:11.2;0201_DecodingIntensityStdDev_577F1:36.580;0201_DecodingIntensityStdDev_577F2:91.439;0201_MeanDecodingIntensity_577F1:414.23;0201_MeanDecodingIntensity_577F2:423.93;0201AEB:00.0328;0201DecodingIntensityStdDev:142.534;0201DecodingIntensityStdDev_488:41.752;0201DecodingIntensityStdDev_647:42.581;0201DecodingIntensityStdDev_700:142.534;0201DecodingIntensityStdDev_750:14.918;0201F_on:0.0323;0201FillPercent:012.75;0201KineticInconsistentLower:0;0201KineticInconsistentMetadata:-985.815585649412|3.44;0201MeanDecodingIntensity:497.06;0201MeanDecodingIntensity_488:153.95;0201MeanDecodingIntensity_647:105.78;0201MeanDecodingIntensity_700:497.06;0201MeanDecodingIntensity_750:66.31;0201ReflectiveIntensity:13425.56;0201ReflectiveIntensityStdDev:624.172;0201SealTimeEstimate:11.0;2001_DecodingIntensityStdDev_577F1:36.394;2001_DecodingIntensityStdDev_577F2:81.605;2001_MeanDecodingIntensity_577F1:442.48;2001_MeanDecodingIntensity_577F2:451.98;2001AEB:00.0373;2001DecodingIntensityStdDev:271.056;2001DecodingIntensityStdDev_488:60.079;2001DecodingIntensityStdDev_647:8.831;2001DecodingIntensityStdDev_700:8.452;2001DecodingIntensityStdDev_750:271.056;2001F_on:0.0366;2001FillPercent:011.92;2001KineticInconsistentLower:0;2001KineticInconsistentMetadata:-1024.46048045561|3.38;2001MeanDecodingIntensity:931.27;2001MeanDecodingIntensity_488:155.37;2001MeanDecodingIntensity_647:38.90;2001MeanDecodingIntensity_700:35.58;2001MeanDecodingIntensity_750:931.27;2001ReflectiveIntensity:13390.59;2001ReflectiveIntensityStdDev:597.084;2001SealTimeEstimate:11.3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14.07;Empties488F1MeanIntensity:74.01;Empties577F1IntensityStdDev:17.90;Empties577F1MeanIntensity:381.61;Empties577F2IntensityStdDev:28.51;Empties577F2MeanIntensity:378.35;Empties647F1IntensityStdDev:4.59;Empties647F1MeanIntensity:31.57;Empties700F1IntensityStdDev:4.71;Empties700F1MeanIntensity:29.64;Empties750F1IntensityStdDev:5.78;Empties750F1MeanIntensity:34.42;EmptiesIGrowth:338.61;EmptiesReflectiveIntensityStdDev:339.77;EmptiesReflectiveMeanIntensity:12085.71;Errors:;F2minusF1Shift:0.4;FluorescenceClassification:Normal;Focus_FracImageLost:0.00;FocusScoresAvg:3.85;FocusScoresImageCenter:5.02;FocusScoresMax:5.18;FocusScoresMedian:3.90;FractionImageDebris:0.0984;FractionWellsDebris:0.1102;ImageQualityScoreIfUnpegged:0.60;IndexingWellsMissingFromFov:0;IndexingWellsTotalLostBothVisibleAndMissing:0;IndexingWellsVisibleInFovButRemoved:0;L1DR time (ms):26353;NetBeadFillRate:36.95;NormalizedFillPercentage:052.69;Notes:Xtalk: usable out of spec wv 577 sr 4 dir 5 value 0.036. | Xtalk: usable out of spec wv 577 sr 9 dir 5 value 0.036. | Xtalk: usable out of spec wv 700 sr 8 dir 5 value 0.036.;NumberDecSaturated:1;NumberEmpties:51182;NumberFlagged_DeadPixels:72.0000;NumberFlagged_Debris:21147.0000;NumberFlagged_MissingNeighbor:3558.0000;NumberFlagged_NeighborSaturated:06.0000;NumberFlagged_OddlyRecurrentClassification:3845.0000;NumberFlagged_OutOfBounds:4185.0000;NumberFlagged_OutOfSpecXtalk:15599.0000;NumberFlagged_SaturatedPixelDecodingFour:01.0000;NumberInvalidWells:37669;NumberPositiveEmpties:81;NumberPositives:11163;NumberResSaturated:0;NumberSaturatedWithoutDebris:1;NumberValidUnclassified:46096.00;NumberValidWells:154278;OddlyAggregatedFlag:2;OddlyAggregatedLocations:;OddlyAggregatedWorst:0;OffsetW488:( 0, 0 );OffsetW577:( 0, 0 );OffsetW647:( 0, 0 );OffsetW700:( 0, 0 );OffsetW750:( 1, -1 );ResorufinUnsaturated:0;ResorufinUnsaturatedMutated:0;ResorufinUnsaturaterNumberInFit:18;SaturatedDecodingWells:2;SuspiciousWells:27882;SuspiciousWellsFlagged:1;SuspiciousWellsLowerThreshold:6;Warnings:Xtalk: unusable out of spec wv 577 sr 8 dir 5 value 0.070.;WhiteLightChannelMedian:10014;XtalkSubregionsOutOfSpec:1</t>
  </si>
  <si>
    <t>0002_DecodingIntensityStdDev_577F1:95.842;0002_DecodingIntensityStdDev_577F2:204.660;0002_MeanDecodingIntensity_577F1:436.14;0002_MeanDecodingIntensity_577F2:480.84;0002AEB:00.2112;0002DecodingIntensityStdDev:347.713;0002DecodingIntensityStdDev_488:347.713;0002DecodingIntensityStdDev_647:5.071;0002DecodingIntensityStdDev_700:5.031;0002DecodingIntensityStdDev_750:6.448;0002F_on:0.1904;0002FillPercent:014.20;0002KineticInconsistentLower:0;0002KineticInconsistentMetadata:-522.285277654787|2.34;0002MeanDecodingIntensity:1676.70;0002MeanDecodingIntensity_488:1676.70;0002MeanDecodingIntensity_647:35.37;0002MeanDecodingIntensity_700:30.63;0002MeanDecodingIntensity_750:35.70;0002ReflectiveIntensity:13698.77;0002ReflectiveIntensityStdDev:595.511;0002SealTimeEstimate:20.4;0021_DecodingIntensityStdDev_577F1:59.845;0021_DecodingIntensityStdDev_577F2:126.142;0021_MeanDecodingIntensity_577F1:403.48;0021_MeanDecodingIntensity_577F2:415.21;0021AEB:00.0388;0021DecodingIntensityStdDev:89.137;0021DecodingIntensityStdDev_488:25.536;0021DecodingIntensityStdDev_647:89.137;0021DecodingIntensityStdDev_700:10.675;0021DecodingIntensityStdDev_750:7.091;0021F_on:0.0381;0021FillPercent:008.63;0021KineticInconsistentLower:0;0021KineticInconsistentMetadata:-542.483306114022|2.39;0021MeanDecodingIntensity:460.58;0021MeanDecodingIntensity_488:152.55;0021MeanDecodingIntensity_647:460.58;0021MeanDecodingIntensity_700:72.31;0021MeanDecodingIntensity_750:36.02;0021ReflectiveIntensity:13487.10;0021ReflectiveIntensityStdDev:546.567;0021SealTimeEstimate:19.7;0201_DecodingIntensityStdDev_577F1:62.594;0201_DecodingIntensityStdDev_577F2:130.532;0201_MeanDecodingIntensity_577F1:403.20;0201_MeanDecodingIntensity_577F2:414.80;0201AEB:00.0371;0201DecodingIntensityStdDev:130.085;0201DecodingIntensityStdDev_488:34.548;0201DecodingIntensityStdDev_647:36.368;0201DecodingIntensityStdDev_700:130.085;0201DecodingIntensityStdDev_750:14.546;0201F_on:0.0364;0201FillPercent:010.37;0201KineticInconsistentLower:0;0201KineticInconsistentMetadata:-525.837399849695|2.36;0201MeanDecodingIntensity:532.16;0201MeanDecodingIntensity_488:156.40;0201MeanDecodingIntensity_647:109.11;0201MeanDecodingIntensity_700:532.16;0201MeanDecodingIntensity_750:68.35;0201ReflectiveIntensity:13562.62;0201ReflectiveIntensityStdDev:585.281;0201SealTimeEstimate:20.1;2001_DecodingIntensityStdDev_577F1:61.031;2001_DecodingIntensityStdDev_577F2:124.663;2001_MeanDecodingIntensity_577F1:437.51;2001_MeanDecodingIntensity_577F2:450.17;2001AEB:00.0419;2001DecodingIntensityStdDev:260.068;2001DecodingIntensityStdDev_488:35.773;2001DecodingIntensityStdDev_647:6.484;2001DecodingIntensityStdDev_700:6.688;2001DecodingIntensityStdDev_750:260.068;2001F_on:0.0410;2001FillPercent:009.71;2001KineticInconsistentLower:0;2001KineticInconsistentMetadata:-584.553158378755|2.38;2001MeanDecodingIntensity:1036.61;2001MeanDecodingIntensity_488:155.85;2001MeanDecodingIntensity_647:39.01;2001MeanDecodingIntensity_700:35.39;2001MeanDecodingIntensity_750:1036.61;2001ReflectiveIntensity:13537.96;2001ReflectiveIntensityStdDev:582.952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12.32;Empties488F1MeanIntensity:70.05;Empties577F1IntensityStdDev:27.67;Empties577F1MeanIntensity:356.61;Empties577F2IntensityStdDev:32.85;Empties577F2MeanIntensity:354.63;Empties647F1IntensityStdDev:4.27;Empties647F1MeanIntensity:31.59;Empties700F1IntensityStdDev:4.25;Empties700F1MeanIntensity:29.37;Empties750F1IntensityStdDev:5.23;Empties750F1MeanIntensity:33.94;EmptiesIGrowth:495.86;EmptiesReflectiveIntensityStdDev:428.66;EmptiesReflectiveMeanIntensity:12310.16;Errors:;F2minusF1Shift:0.3;FluorescenceClassification:Normal;Focus_FracImageLost:0.00;FocusScoresAvg:3.71;FocusScoresImageCenter:4.91;FocusScoresMax:5.52;FocusScoresMedian:3.76;FractionImageDebris:0.0522;FractionWellsDebris:0.0605;ImageQualityScoreIfUnpegged:0.60;IndexingWellsMissingFromFov:0;IndexingWellsTotalLostBothVisibleAndMissing:0;IndexingWellsVisibleInFovButRemoved:0;L1DR time (ms):25681;NetBeadFillRate:24.57;NormalizedFillPercentage:042.92;Notes:Xtalk: usable out of spec wv 577 sr 9 dir 5 value 0.036.;NumberDecSaturated:0;NumberEmpties:52463;NumberFlagged_DeadPixels:71.0000;NumberFlagged_Debris:11622.0000;NumberFlagged_MissingNeighbor:3323.0000;NumberFlagged_NeighborSaturated:06.0000;NumberFlagged_OddlyRecurrentClassification:165.0000;NumberFlagged_OutOfBounds:4220.0000;NumberFlagged_OutOfSpecXtalk:15750.0000;NumberFlagged_SaturatedPixelResorufinTwo:01.0000;NumberInvalidWells:31534;NumberPositiveEmpties:20;NumberPositives:7140;NumberResSaturated:1;NumberSaturatedWithoutDebris:1;NumberValidUnclassified:68653.00;NumberValidWells:160562;OddlyAggregatedFlag:2;OddlyAggregatedLocations:;OddlyAggregatedWorst:0;OffsetW488:( 0, 0 );OffsetW577:( 0, 0 );OffsetW647:( 0, 0 );OffsetW700:( 0, 0 );OffsetW750:( 1, -1 );ResorufinUnsaturated:0;ResorufinUnsaturatedMutated:0;ResorufinUnsaturaterNumberInFit:156;SaturatedDecodingWells:0;SuspiciousWells:23416;SuspiciousWellsFlagged:1;SuspiciousWellsLowerThreshold:6;Warnings:Xtalk: unusable out of spec wv 700 sr 8 dir 5 value 0.050. | Xtalk: unusable out of spec wv 488 sr 8 dir 5 value 0.062.;WhiteLightChannelMedian:9985;XtalkSubregionsOutOfSpec:1</t>
  </si>
  <si>
    <t>0002_DecodingIntensityStdDev_577F1:87.191;0002_DecodingIntensityStdDev_577F2:186.502;0002_MeanDecodingIntensity_577F1:423.87;0002_MeanDecodingIntensity_577F2:465.56;0002AEB:00.2149;0002DecodingIntensityStdDev:360.684;0002DecodingIntensityStdDev_488:360.684;0002DecodingIntensityStdDev_647:5.276;0002DecodingIntensityStdDev_700:5.143;0002DecodingIntensityStdDev_750:6.428;0002F_on:0.1934;0002FillPercent:015.00;0002KineticInconsistentLower:0;0002KineticInconsistentMetadata:-487.467269832803|2.32;0002MeanDecodingIntensity:1647.16;0002MeanDecodingIntensity_488:1647.16;0002MeanDecodingIntensity_647:35.26;0002MeanDecodingIntensity_700:30.46;0002MeanDecodingIntensity_750:35.35;0002ReflectiveIntensity:13686.89;0002ReflectiveIntensityStdDev:652.146;0002SealTimeEstimate:20.8;0021_DecodingIntensityStdDev_577F1:55.843;0021_DecodingIntensityStdDev_577F2:115.844;0021_MeanDecodingIntensity_577F1:395.20;0021_MeanDecodingIntensity_577F2:408.06;0021AEB:00.0418;0021DecodingIntensityStdDev:94.305;0021DecodingIntensityStdDev_488:25.885;0021DecodingIntensityStdDev_647:94.305;0021DecodingIntensityStdDev_700:11.124;0021DecodingIntensityStdDev_750:6.836;0021F_on:0.0409;0021FillPercent:008.83;0021KineticInconsistentLower:0;0021KineticInconsistentMetadata:-509.759051400285|2.39;0021MeanDecodingIntensity:447.65;0021MeanDecodingIntensity_488:145.79;0021MeanDecodingIntensity_647:447.65;0021MeanDecodingIntensity_700:71.18;0021MeanDecodingIntensity_750:35.59;0021ReflectiveIntensity:13440.19;0021ReflectiveIntensityStdDev:605.847;0021SealTimeEstimate:19.7;0201_DecodingIntensityStdDev_577F1:54.508;0201_DecodingIntensityStdDev_577F2:111.283;0201_MeanDecodingIntensity_577F1:394.47;0201_MeanDecodingIntensity_577F2:406.64;0201AEB:00.0395;0201DecodingIntensityStdDev:126.144;0201DecodingIntensityStdDev_488:37.163;0201DecodingIntensityStdDev_647:30.771;0201DecodingIntensityStdDev_700:126.144;0201DecodingIntensityStdDev_750:13.927;0201F_on:0.0387;0201FillPercent:010.63;0201KineticInconsistentLower:0;0201KineticInconsistentMetadata:-536.213014365795|2.42;0201MeanDecodingIntensity:523.78;0201MeanDecodingIntensity_488:150.32;0201MeanDecodingIntensity_647:105.62;0201MeanDecodingIntensity_700:523.78;0201MeanDecodingIntensity_750:67.45;0201ReflectiveIntensity:13528.47;0201ReflectiveIntensityStdDev:627.227;0201SealTimeEstimate:19.2;2001_DecodingIntensityStdDev_577F1:56.039;2001_DecodingIntensityStdDev_577F2:112.885;2001_MeanDecodingIntensity_577F1:427.16;2001_MeanDecodingIntensity_577F2:439.92;2001AEB:00.0439;2001DecodingIntensityStdDev:264.995;2001DecodingIntensityStdDev_488:40.808;2001DecodingIntensityStdDev_647:8.056;2001DecodingIntensityStdDev_700:7.340;2001DecodingIntensityStdDev_750:264.995;2001F_on:0.0430;2001FillPercent:009.78;2001KineticInconsistentLower:0;2001KineticInconsistentMetadata:-584.857162439882|2.43;2001MeanDecodingIntensity:1020.25;2001MeanDecodingIntensity_488:150.18;2001MeanDecodingIntensity_647:39.03;2001MeanDecodingIntensity_700:35.28;2001MeanDecodingIntensity_750:1020.25;2001ReflectiveIntensity:13510.97;2001ReflectiveIntensityStdDev:630.664;2001SealTimeEstimate:19.1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12.59;Empties488F1MeanIntensity:66.55;Empties577F1IntensityStdDev:32.14;Empties577F1MeanIntensity:347.34;Empties577F2IntensityStdDev:39.10;Empties577F2MeanIntensity:346.82;Empties647F1IntensityStdDev:4.70;Empties647F1MeanIntensity:31.53;Empties700F1IntensityStdDev:4.75;Empties700F1MeanIntensity:29.48;Empties750F1IntensityStdDev:5.61;Empties750F1MeanIntensity:33.84;EmptiesIGrowth:454.04;EmptiesReflectiveIntensityStdDev:426.52;EmptiesReflectiveMeanIntensity:12133.41;Errors:;F2minusF1Shift:-0.9;FluorescenceClassification:Normal;Focus_FracImageLost:0.00;FocusScoresAvg:3.81;FocusScoresImageCenter:4.75;FocusScoresMax:5.51;FocusScoresMedian:3.76;FractionImageDebris:0.0718;FractionWellsDebris:0.0835;ImageQualityScoreIfUnpegged:1.00;IndexingWellsMissingFromFov:0;IndexingWellsTotalLostBothVisibleAndMissing:0;IndexingWellsVisibleInFovButRemoved:0;L1DR time (ms):27097;NetBeadFillRate:31.05;NormalizedFillPercentage:044.24;Notes:Xtalk: usable out of spec wv 577 sr 4 dir 5 value 0.041. | Xtalk: usable out of spec wv 577 sr 8 dir 5 value 0.046. | Xtalk: usable out of spec wv 577 sr 9 dir 5 value 0.043. | Xtalk: usable out of spec wv 488 sr 4 dir 5 value 0.043. | Xtalk: usable out of spec wv 488 sr 8 dir 5 value 0.036. | Xtalk: usable out of spec wv 488 sr 9 dir 5 value 0.036.;NumberDecSaturated:0;NumberEmpties:66638;NumberFlagged_DeadPixels:70.0000;NumberFlagged_Debris:16033.0000;NumberFlagged_MissingNeighbor:3808.0000;NumberFlagged_NeighborSaturated:06.0000;NumberFlagged_OutOfBounds:4097.0000;NumberFlagged_SaturatedPixelResorufinTwo:01.0000;NumberInvalidWells:21661;NumberPositiveEmpties:45;NumberPositives:10057;NumberResSaturated:1;NumberSaturatedWithoutDebris:1;NumberValidUnclassified:50806.00;NumberValidWells:170325;OddlyAggregatedFlag:2;OddlyAggregatedLocations:;OddlyAggregatedWorst:0;OffsetW488:( 0, 0 );OffsetW577:( 0, 0 );OffsetW647:( 0, 0 );OffsetW700:( 0, -1 );OffsetW750:( 0, -1 );ResorufinUnsaturated:0;ResorufinUnsaturatedMutated:0;ResorufinUnsaturaterNumberInFit:139;SaturatedDecodingWells:0;SuspiciousWells:28585;SuspiciousWellsFlagged:1;SuspiciousWellsLowerThreshold:6;Warnings:;WhiteLightChannelMedian:9946;XtalkSubregionsOutOfSpec:0</t>
  </si>
  <si>
    <t>spikein-high-1-2-3</t>
  </si>
  <si>
    <t>Plate 2 - Well C7</t>
  </si>
  <si>
    <t>0002_DecodingIntensityStdDev_577F1:54.681;0002_DecodingIntensityStdDev_577F2:162.039;0002_MeanDecodingIntensity_577F1:435.28;0002_MeanDecodingIntensity_577F2:475.73;0002AEB:00.1996;0002DecodingIntensityStdDev:339.153;0002DecodingIntensityStdDev_488:339.153;0002DecodingIntensityStdDev_647:4.937;0002DecodingIntensityStdDev_700:4.726;0002DecodingIntensityStdDev_750:6.040;0002F_on:0.1809;0002FillPercent:015.51;0002KineticInconsistentLower:0;0002KineticInconsistentMetadata:-952.843666694819|3.38;0002MeanDecodingIntensity:1594.19;0002MeanDecodingIntensity_488:1594.19;0002MeanDecodingIntensity_647:34.98;0002MeanDecodingIntensity_700:30.27;0002MeanDecodingIntensity_750:35.20;0002ReflectiveIntensity:13374.29;0002ReflectiveIntensityStdDev:575.403;0002SealTimeEstimate:11.3;0021_DecodingIntensityStdDev_577F1:28.168;0021_DecodingIntensityStdDev_577F2:62.202;0021_MeanDecodingIntensity_577F1:413.62;0021_MeanDecodingIntensity_577F2:416.07;0021AEB:00.0197;0021DecodingIntensityStdDev:78.919;0021DecodingIntensityStdDev_488:22.207;0021DecodingIntensityStdDev_647:78.919;0021DecodingIntensityStdDev_700:9.235;0021DecodingIntensityStdDev_750:6.254;0021F_on:0.0195;0021FillPercent:009.37;0021KineticInconsistentLower:0;0021KineticInconsistentMetadata:-962.685031714278|3.41;0021MeanDecodingIntensity:420.39;0021MeanDecodingIntensity_488:144.00;0021MeanDecodingIntensity_647:420.39;0021MeanDecodingIntensity_700:67.89;0021MeanDecodingIntensity_750:35.29;0021ReflectiveIntensity:13141.75;0021ReflectiveIntensityStdDev:470.423;0021SealTimeEstimate:11.2;0201_DecodingIntensityStdDev_577F1:30.792;0201_DecodingIntensityStdDev_577F2:70.504;0201_MeanDecodingIntensity_577F1:413.41;0201_MeanDecodingIntensity_577F2:416.66;0201AEB:00.0235;0201DecodingIntensityStdDev:110.707;0201DecodingIntensityStdDev_488:26.799;0201DecodingIntensityStdDev_647:16.993;0201DecodingIntensityStdDev_700:110.707;0201DecodingIntensityStdDev_750:10.695;0201F_on:0.0232;0201FillPercent:010.93;0201KineticInconsistentLower:0;0201KineticInconsistentMetadata:-901.123041938166|3.3;0201MeanDecodingIntensity:497.01;0201MeanDecodingIntensity_488:147.31;0201MeanDecodingIntensity_647:97.91;0201MeanDecodingIntensity_700:497.01;0201MeanDecodingIntensity_750:64.73;0201ReflectiveIntensity:13200.98;0201ReflectiveIntensityStdDev:505.229;0201SealTimeEstimate:11.7;2001_DecodingIntensityStdDev_577F1:32.723;2001_DecodingIntensityStdDev_577F2:70.140;2001_MeanDecodingIntensity_577F1:443.37;2001_MeanDecodingIntensity_577F2:446.89;2001AEB:00.0245;2001DecodingIntensityStdDev:213.485;2001DecodingIntensityStdDev_488:25.579;2001DecodingIntensityStdDev_647:5.453;2001DecodingIntensityStdDev_700:5.564;2001DecodingIntensityStdDev_750:213.485;2001F_on:0.0242;2001FillPercent:010.54;2001KineticInconsistentLower:0;2001KineticInconsistentMetadata:-992.491659379791|3.34;2001MeanDecodingIntensity:936.74;2001MeanDecodingIntensity_488:146.52;2001MeanDecodingIntensity_647:37.99;2001MeanDecodingIntensity_700:34.17;2001MeanDecodingIntensity_750:936.74;2001ReflectiveIntensity:13202.32;2001ReflectiveIntensityStdDev:515.510;2001SealTimeEstimate:11.5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12.21;Empties488F1MeanIntensity:73.64;Empties577F1IntensityStdDev:20.52;Empties577F1MeanIntensity:385.15;Empties577F2IntensityStdDev:28.01;Empties577F2MeanIntensity:379.00;Empties647F1IntensityStdDev:4.30;Empties647F1MeanIntensity:31.54;Empties700F1IntensityStdDev:4.21;Empties700F1MeanIntensity:29.36;Empties750F1IntensityStdDev:5.12;Empties750F1MeanIntensity:33.84;EmptiesIGrowth:357.75;EmptiesReflectiveIntensityStdDev:315.39;EmptiesReflectiveMeanIntensity:11984.40;Errors:;F2minusF1Shift:3.4;FluorescenceClassification:Normal;Focus_FracImageLost:0.00;FocusScoresAvg:3.79;FocusScoresImageCenter:4.49;FocusScoresMax:5.35;FocusScoresMedian:3.79;FractionImageDebris:0.1480;FractionWellsDebris:0.1554;ImageQualityScoreIfUnpegged:1.00;IndexingWellsMissingFromFov:0;IndexingWellsTotalLostBothVisibleAndMissing:0;IndexingWellsVisibleInFovButRemoved:0;L1DR time (ms):26279;NetBeadFillRate:32.54;NormalizedFillPercentage:046.36;Notes:Xtalk: usable out of spec wv 577 sr 9 dir 5 value 0.041.;NumberDecSaturated:0;NumberEmpties:56410;NumberFlagged_DeadPixels:78.0000;NumberFlagged_Debris:29685.0000;NumberFlagged_MissingNeighbor:4152.0000;NumberFlagged_OddlyRecurrentClassification:12780.0000;NumberFlagged_OutOfBounds:3488.0000;NumberInvalidWells:41148;NumberPositiveEmpties:57;NumberPositives:8238;NumberResSaturated:0;NumberSaturatedWithoutDebris:0;NumberValidUnclassified:44653.00;NumberValidWells:149817;OddlyAggregatedFlag:2;OddlyAggregatedLocations:;OddlyAggregatedWorst:0;OffsetW488:( 0, 0 );OffsetW577:( 0, 0 );OffsetW647:( 0, 0 );OffsetW700:( 0, -1 );OffsetW750:( 0, -1 );ResorufinUnsaturated:0;ResorufinUnsaturatedMutated:0;ResorufinUnsaturaterNumberInFit:14;SaturatedDecodingWells:0;SuspiciousWells:23998;SuspiciousWellsFlagged:1;SuspiciousWellsLowerThreshold:5;Warnings:;WhiteLightChannelMedian:9817;XtalkSubregionsOutOfSpec:0</t>
  </si>
  <si>
    <t>0002_DecodingIntensityStdDev_577F1:40.919;0002_DecodingIntensityStdDev_577F2:102.768;0002_MeanDecodingIntensity_577F1:752.45;0002_MeanDecodingIntensity_577F2:485.37;0002AEB:00.2374;0002DecodingIntensityStdDev:421.747;0002DecodingIntensityStdDev_488:421.747;0002DecodingIntensityStdDev_647:5.941;0002DecodingIntensityStdDev_700:9.433;0002DecodingIntensityStdDev_750:12.755;0002F_on:0.2113;0002FillPercent:010.96;0002KineticInconsistentLower:0;0002KineticInconsistentMetadata:-911.479580078125|2.13;0002MeanDecodingIntensity:1702.73;0002MeanDecodingIntensity_488:1702.73;0002MeanDecodingIntensity_647:36.59;0002MeanDecodingIntensity_700:38.99;0002MeanDecodingIntensity_750:48.73;0002ReflectiveIntensity:13543.90;0002ReflectiveIntensityStdDev:801.945;0002SealTimeEstimate:24.4;0021_DecodingIntensityStdDev_577F1:42.869;0021_DecodingIntensityStdDev_577F2:41.759;0021_MeanDecodingIntensity_577F1:744.96;0021_MeanDecodingIntensity_577F2:447.54;0021AEB:00.1399;0021DecodingIntensityStdDev:110.016;0021DecodingIntensityStdDev_488:26.758;0021DecodingIntensityStdDev_647:110.016;0021DecodingIntensityStdDev_700:19.174;0021DecodingIntensityStdDev_750:13.191;0021F_on:0.1306;0021FillPercent:009.49;0021KineticInconsistentLower:0;0021KineticInconsistentMetadata:-901.90654296875|1.96;0021MeanDecodingIntensity:439.81;0021MeanDecodingIntensity_488:150.53;0021MeanDecodingIntensity_647:439.81;0021MeanDecodingIntensity_700:69.10;0021MeanDecodingIntensity_750:47.94;0021ReflectiveIntensity:13182.73;0021ReflectiveIntensityStdDev:929.875;0021SealTimeEstimate:29.0;0201_DecodingIntensityStdDev_577F1:42.373;0201_DecodingIntensityStdDev_577F2:46.825;0201_MeanDecodingIntensity_577F1:744.53;0201_MeanDecodingIntensity_577F2:446.02;0201AEB:00.1649;0201DecodingIntensityStdDev:147.047;0201DecodingIntensityStdDev_488:29.669;0201DecodingIntensityStdDev_647:45.582;0201DecodingIntensityStdDev_700:147.047;0201DecodingIntensityStdDev_750:32.336;0201F_on:0.1520;0201FillPercent:011.15;0201KineticInconsistentLower:0;0201KineticInconsistentMetadata:-733.35021484375|1.72;0201MeanDecodingIntensity:437.22;0201MeanDecodingIntensity_488:145.98;0201MeanDecodingIntensity_647:103.71;0201MeanDecodingIntensity_700:437.22;0201MeanDecodingIntensity_750:75.51;0201ReflectiveIntensity:13303.02;0201ReflectiveIntensityStdDev:920.232;0201SealTimeEstimate:39.4;2001_DecodingIntensityStdDev_577F1:45.164;2001_DecodingIntensityStdDev_577F2:58.520;2001_MeanDecodingIntensity_577F1:770.53;2001_MeanDecodingIntensity_577F2:460.04;2001AEB:00.1398;2001DecodingIntensityStdDev:303.325;2001DecodingIntensityStdDev_488:42.401;2001DecodingIntensityStdDev_647:10.074;2001DecodingIntensityStdDev_700:13.978;2001DecodingIntensityStdDev_750:303.325;2001F_on:0.1305;2001FillPercent:011.17;2001KineticInconsistentLower:0;2001KineticInconsistentMetadata:-1299.67979492187|2.52;2001MeanDecodingIntensity:732.38;2001MeanDecodingIntensity_488:131.07;2001MeanDecodingIntensity_647:38.68;2001MeanDecodingIntensity_700:43.58;2001MeanDecodingIntensity_750:732.38;2001ReflectiveIntensity:13522.62;2001ReflectiveIntensityStdDev:811.182;2001SealTimeEstimate:17.9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13.95;Empties488F1MeanIntensity:75.68;Empties577F1IntensityStdDev:34.24;Empties577F1MeanIntensity:711.81;Empties577F2IntensityStdDev:21.20;Empties577F2MeanIntensity:410.64;Empties647F1IntensityStdDev:5.10;Empties647F1MeanIntensity:32.39;Empties700F1IntensityStdDev:7.38;Empties700F1MeanIntensity:35.81;Empties750F1IntensityStdDev:9.75;Empties750F1MeanIntensity:43.69;EmptiesIGrowth:54.14;EmptiesReflectiveIntensityStdDev:674.24;EmptiesReflectiveMeanIntensity:11976.96;Errors:;F2minusF1Shift:299.2;FluorescenceClassification:Normal;Focus_FracImageLost:0.00;FocusScoresAvg:3.22;FocusScoresImageCenter:3.97;FocusScoresMax:4.56;FocusScoresMedian:3.16;FractionImageDebris:0.3406;FractionWellsDebris:0.3525;ImageQualityScoreIfUnpegged:1.00;IndexingWellsMissingFromFov:0;IndexingWellsTotalLostBothVisibleAndMissing:0;IndexingWellsVisibleInFovButRemoved:0;L1DR time (ms):13563;NetBeadFillRate:20.28;NormalizedFillPercentage:042.77;Notes:;NumberDecSaturated:0;NumberEmpties:5264;NumberFlagged_DeadPixels:54.0000;NumberFlagged_Debris:44370.0000;NumberFlagged_MissingNeighbor:94692.0000;NumberFlagged_OddlyRecurrentClassification:13880.0000;NumberFlagged_OutOfBounds:2980.0000;NumberInvalidWells:106482;NumberPositiveEmpties:147;NumberPositives:9521;NumberResSaturated:0;NumberSaturatedWithoutDebris:0;NumberValidUnclassified:10205.00;NumberValidWells:19403;OddlyAggregatedFlag:2;OddlyAggregatedLocations:;OddlyAggregatedWorst:0;OffsetW488:( 0, -1 );OffsetW577:( 0, 0 );OffsetW647:( 0, 0 );OffsetW700:( 0, 0 );OffsetW750:( 0, -1 );ResorufinUnsaturated:0;ResorufinUnsaturatedMutated:0;ResorufinUnsaturaterNumberInFit:0;SaturatedDecodingWells:1;SuspiciousWells:17819;SuspiciousWellsFlagged:1;SuspiciousWellsLowerThreshold:5;Warnings:;WhiteLightChannelMedian:10660;XtalkSubregionsOutOfSpec:0</t>
  </si>
  <si>
    <t>spikein-high-1-2-4</t>
  </si>
  <si>
    <t>Plate 2 - Well D7</t>
  </si>
  <si>
    <t>0002_DecodingIntensityStdDev_577F1:90.226;0002_DecodingIntensityStdDev_577F2:192.942;0002_MeanDecodingIntensity_577F1:446.83;0002_MeanDecodingIntensity_577F2:513.95;0002AEB:00.3899;0002DecodingIntensityStdDev:357.726;0002DecodingIntensityStdDev_488:357.726;0002DecodingIntensityStdDev_647:5.218;0002DecodingIntensityStdDev_700:5.255;0002DecodingIntensityStdDev_750:6.599;0002F_on:0.3229;0002FillPercent:015.17;0002KineticInconsistentLower:0;0002KineticInconsistentMetadata:-535.637491528555|2.4;0002MeanDecodingIntensity:1614.03;0002MeanDecodingIntensity_488:1614.03;0002MeanDecodingIntensity_647:35.54;0002MeanDecodingIntensity_700:30.83;0002MeanDecodingIntensity_750:35.95;0002ReflectiveIntensity:13356.76;0002ReflectiveIntensityStdDev:608.338;0002SealTimeEstimate:19.5;0021_DecodingIntensityStdDev_577F1:50.410;0021_DecodingIntensityStdDev_577F2:102.303;0021_MeanDecodingIntensity_577F1:420.80;0021_MeanDecodingIntensity_577F2:462.11;0021AEB:00.3007;0021DecodingIntensityStdDev:87.919;0021DecodingIntensityStdDev_488:25.186;0021DecodingIntensityStdDev_647:87.919;0021DecodingIntensityStdDev_700:10.648;0021DecodingIntensityStdDev_750:6.899;0021F_on:0.2597;0021FillPercent:009.23;0021KineticInconsistentLower:0;0021KineticInconsistentMetadata:-410.483184593701|2.13;0021MeanDecodingIntensity:440.09;0021MeanDecodingIntensity_488:146.80;0021MeanDecodingIntensity_647:440.09;0021MeanDecodingIntensity_700:71.00;0021MeanDecodingIntensity_750:36.07;0021ReflectiveIntensity:13138.67;0021ReflectiveIntensityStdDev:529.945;0021SealTimeEstimate:24.4;0201_DecodingIntensityStdDev_577F1:55.264;0201_DecodingIntensityStdDev_577F2:110.940;0201_MeanDecodingIntensity_577F1:420.52;0201_MeanDecodingIntensity_577F2:461.30;0201AEB:00.2773;0201DecodingIntensityStdDev:126.853;0201DecodingIntensityStdDev_488:29.815;0201DecodingIntensityStdDev_647:23.701;0201DecodingIntensityStdDev_700:126.853;0201DecodingIntensityStdDev_750:12.431;0201F_on:0.2421;0201FillPercent:010.70;0201KineticInconsistentLower:0;0201KineticInconsistentMetadata:-407.500559433844|2.12;0201MeanDecodingIntensity:519.19;0201MeanDecodingIntensity_488:150.41;0201MeanDecodingIntensity_647:102.66;0201MeanDecodingIntensity_700:519.19;0201MeanDecodingIntensity_750:67.59;0201ReflectiveIntensity:13198.51;0201ReflectiveIntensityStdDev:576.714;0201SealTimeEstimate:24.7;2001_DecodingIntensityStdDev_577F1:59.195;2001_DecodingIntensityStdDev_577F2:118.486;2001_MeanDecodingIntensity_577F1:452.19;2001_MeanDecodingIntensity_577F2:492.57;2001AEB:00.2391;2001DecodingIntensityStdDev:242.897;2001DecodingIntensityStdDev_488:27.974;2001DecodingIntensityStdDev_647:5.838;2001DecodingIntensityStdDev_700:6.478;2001DecodingIntensityStdDev_750:242.897;2001F_on:0.2127;2001FillPercent:010.16;2001KineticInconsistentLower:0;2001KineticInconsistentMetadata:-440.175918304938|2.12;2001MeanDecodingIntensity:1033.50;2001MeanDecodingIntensity_488:149.79;2001MeanDecodingIntensity_647:38.98;2001MeanDecodingIntensity_700:35.48;2001MeanDecodingIntensity_750:1033.50;2001ReflectiveIntensity:13188.89;2001ReflectiveIntensityStdDev:572.520;2001SealTimeEstimate:24.7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13.59;Empties488F1MeanIntensity:70.98;Empties577F1IntensityStdDev:31.07;Empties577F1MeanIntensity:358.88;Empties577F2IntensityStdDev:52.53;Empties577F2MeanIntensity:358.99;Empties647F1IntensityStdDev:4.66;Empties647F1MeanIntensity:31.82;Empties700F1IntensityStdDev:4.76;Empties700F1MeanIntensity:29.76;Empties750F1IntensityStdDev:5.70;Empties750F1MeanIntensity:34.23;EmptiesIGrowth:309.48;EmptiesReflectiveIntensityStdDev:362.58;EmptiesReflectiveMeanIntensity:11911.84;Errors:;F2minusF1Shift:-4.0;FittedF2OverF1Intercept:-375.771908459584;FittedF2OverF1Slope:2.02802121705433;FluorescenceClassification:Normal;Focus_FracImageLost:0.00;FocusScoresAvg:3.57;FocusScoresImageCenter:4.48;FocusScoresMax:5.35;FocusScoresMedian:3.48;FractionImageDebris:0.0862;FractionWellsDebris:0.0991;ImageQualityScoreIfUnpegged:1.00;IndexingWellsMissingFromFov:0;IndexingWellsTotalLostBothVisibleAndMissing:0;IndexingWellsVisibleInFovButRemoved:0;L1DR time (ms):28144;NetBeadFillRate:31.76;NormalizedFillPercentage:045.26;Notes:Xtalk: usable out of spec wv 577 sr 9 dir 5 value 0.038. | Xtalk: usable out of spec wv 577 sr 10 dir 4 value 0.038. | Xtalk: usable out of spec wv 700 sr 8 dir 4 value 0.036.;NumberDecSaturated:1;NumberEmpties:64383;NumberFlagged_DeadPixels:74.0000;NumberFlagged_Debris:19067.0000;NumberFlagged_MissingNeighbor:3313.0000;NumberFlagged_NeighborSaturated:22.0000;NumberFlagged_OddlyRecurrentClassification:4226.0000;NumberFlagged_OutOfBounds:4175.0000;NumberFlagged_SaturatedPixelDecodingFour:01.0000;NumberFlagged_SaturatedPixelResorufinTwo:03.0000;NumberFlagged_SaturationRemoverSuspiciousF1:03.0000;NumberInvalidWells:24896;NumberPositiveEmpties:168;NumberPositives:34373;NumberResSaturated:3;NumberSaturatedWithoutDebris:2;NumberValidUnclassified:49984.00;NumberValidWells:167596;OddlyAggregatedFlag:2;OddlyAggregatedLocations:;OddlyAggregatedWorst:0;OffsetW488:( 0, 0 );OffsetW577:( 0, 0 );OffsetW647:( 0, 0 );OffsetW700:( 0, 0 );OffsetW750:( 0, -1 );ResorufinUnsaturated:1;ResorufinUnsaturatedMutated:0;ResorufinUnsaturatedSuspiciousF1:3;ResorufinUnsaturaterNumberInFit:215;SaturatedDecodingWells:0;SuspiciousWells:21415;SuspiciousWellsFlagged:1;SuspiciousWellsLowerThreshold:6;Warnings:;WhiteLightChannelMedian:9930;XtalkSubregionsOutOfSpec:0</t>
  </si>
  <si>
    <t>0002_DecodingIntensityStdDev_577F1:51.021;0002_DecodingIntensityStdDev_577F2:159.446;0002_MeanDecodingIntensity_577F1:438.25;0002_MeanDecodingIntensity_577F2:509.02;0002AEB:00.4077;0002DecodingIntensityStdDev:370.677;0002DecodingIntensityStdDev_488:370.677;0002DecodingIntensityStdDev_647:5.288;0002DecodingIntensityStdDev_700:5.361;0002DecodingIntensityStdDev_750:6.649;0002F_on:0.3348;0002FillPercent:015.90;0002KineticInconsistentLower:0;0002KineticInconsistentMetadata:-1033.28355556891|3.61;0002MeanDecodingIntensity:1651.77;0002MeanDecodingIntensity_488:1651.77;0002MeanDecodingIntensity_647:35.29;0002MeanDecodingIntensity_700:30.79;0002MeanDecodingIntensity_750:35.75;0002ReflectiveIntensity:13241.90;0002ReflectiveIntensityStdDev:622.086;0002SealTimeEstimate:10.3;0021_DecodingIntensityStdDev_577F1:31.042;0021_DecodingIntensityStdDev_577F2:85.076;0021_MeanDecodingIntensity_577F1:421.26;0021_MeanDecodingIntensity_577F2:463.55;0021AEB:00.3303;0021DecodingIntensityStdDev:91.344;0021DecodingIntensityStdDev_488:26.124;0021DecodingIntensityStdDev_647:91.344;0021DecodingIntensityStdDev_700:10.876;0021DecodingIntensityStdDev_750:7.349;0021F_on:0.2813;0021FillPercent:010.03;0021KineticInconsistentLower:0;0021KineticInconsistentMetadata:-805.530178632988|3.1;0021MeanDecodingIntensity:434.37;0021MeanDecodingIntensity_488:147.06;0021MeanDecodingIntensity_647:434.37;0021MeanDecodingIntensity_700:70.14;0021MeanDecodingIntensity_750:36.14;0021ReflectiveIntensity:13003.60;0021ReflectiveIntensityStdDev:534.797;0021SealTimeEstimate:12.9;0201_DecodingIntensityStdDev_577F1:34.710;0201_DecodingIntensityStdDev_577F2:96.246;0201_MeanDecodingIntensity_577F1:422.27;0201_MeanDecodingIntensity_577F2:465.62;0201AEB:00.3430;0201DecodingIntensityStdDev:138.042;0201DecodingIntensityStdDev_488:36.620;0201DecodingIntensityStdDev_647:39.852;0201DecodingIntensityStdDev_700:138.042;0201DecodingIntensityStdDev_750:14.041;0201F_on:0.2904;0201FillPercent:012.04;0201KineticInconsistentLower:0;0201KineticInconsistentMetadata:-768.487201584026|3.01;0201MeanDecodingIntensity:519.29;0201MeanDecodingIntensity_488:152.33;0201MeanDecodingIntensity_647:106.84;0201MeanDecodingIntensity_700:519.29;0201MeanDecodingIntensity_750:66.97;0201ReflectiveIntensity:13110.08;0201ReflectiveIntensityStdDev:612.346;0201SealTimeEstimate:13.4;2001_DecodingIntensityStdDev_577F1:35.281;2001_DecodingIntensityStdDev_577F2:86.287;2001_MeanDecodingIntensity_577F1:451.27;2001_MeanDecodingIntensity_577F2:492.81;2001AEB:00.2836;2001DecodingIntensityStdDev:253.216;2001DecodingIntensityStdDev_488:55.384;2001DecodingIntensityStdDev_647:9.335;2001DecodingIntensityStdDev_700:7.584;2001DecodingIntensityStdDev_750:253.216;2001F_on:0.2469;2001FillPercent:011.14;2001KineticInconsistentLower:0;2001KineticInconsistentMetadata:-694.995831437307|2.73;2001MeanDecodingIntensity:965.72;2001MeanDecodingIntensity_488:152.62;2001MeanDecodingIntensity_647:38.80;2001MeanDecodingIntensity_700:35.25;2001MeanDecodingIntensity_750:965.72;2001ReflectiveIntensity:13077.38;2001ReflectiveIntensityStdDev:589.925;2001SealTimeEstimate:15.7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13.04;Empties488F1MeanIntensity:72.67;Empties577F1IntensityStdDev:21.52;Empties577F1MeanIntensity:377.04;Empties577F2IntensityStdDev:54.12;Empties577F2MeanIntensity:374.88;Empties647F1IntensityStdDev:4.52;Empties647F1MeanIntensity:31.49;Empties700F1IntensityStdDev:4.60;Empties700F1MeanIntensity:29.58;Empties750F1IntensityStdDev:5.62;Empties750F1MeanIntensity:34.07;EmptiesIGrowth:387.64;EmptiesReflectiveIntensityStdDev:341.08;EmptiesReflectiveMeanIntensity:11719.47;Errors:;F2minusF1Shift:-1.8;FluorescenceClassification:Normal;Focus_FracImageLost:0.00;FocusScoresAvg:3.76;FocusScoresImageCenter:4.61;FocusScoresMax:5.37;FocusScoresMedian:3.66;FractionImageDebris:0.1673;FractionWellsDebris:0.1807;ImageQualityScoreIfUnpegged:1.00;IndexingWellsMissingFromFov:0;IndexingWellsTotalLostBothVisibleAndMissing:0;IndexingWellsVisibleInFovButRemoved:0;L1DR time (ms):25975;NetBeadFillRate:34.44;NormalizedFillPercentage:049.11;Notes:Xtalk: usable out of spec wv 577 sr 4 dir 5 value 0.036. | Xtalk: usable out of spec wv 577 sr 8 dir 4 value 0.036. | Xtalk: usable out of spec wv 577 sr 9 dir 5 value 0.036.;NumberDecSaturated:0;NumberEmpties:54502;NumberFlagged_DeadPixels:72.0000;NumberFlagged_Debris:34733.0000;NumberFlagged_MissingNeighbor:2755.0000;NumberFlagged_OddlyRecurrentClassification:6113.0000;NumberFlagged_OutOfBounds:3804.0000;NumberInvalidWells:39511;NumberPositiveEmpties:170;NumberPositives:41732;NumberResSaturated:0;NumberSaturatedWithoutDebris:0;NumberValidUnclassified:45635.00;NumberValidWells:152734;OddlyAggregatedFlag:2;OddlyAggregatedLocations:;OddlyAggregatedWorst:0;OffsetW488:( 0, 0 );OffsetW577:( 0, 0 );OffsetW647:( 0, 0 );OffsetW700:( 0, 0 );OffsetW750:( 0, -1 );ResorufinUnsaturated:0;ResorufinUnsaturatedMutated:0;ResorufinUnsaturaterNumberInFit:38;SaturatedDecodingWells:0;SuspiciousWells:20377;SuspiciousWellsFlagged:1;SuspiciousWellsLowerThreshold:6;Warnings:;WhiteLightChannelMedian:9781;XtalkSubregionsOutOfSpec:0</t>
  </si>
  <si>
    <t>0002_DecodingIntensityStdDev_577F1:66.680;0002_DecodingIntensityStdDev_577F2:176.566;0002_MeanDecodingIntensity_577F1:457.65;0002_MeanDecodingIntensity_577F2:529.52;0002AEB:00.4281;0002DecodingIntensityStdDev:398.057;0002DecodingIntensityStdDev_488:398.057;0002DecodingIntensityStdDev_647:5.390;0002DecodingIntensityStdDev_700:5.402;0002DecodingIntensityStdDev_750:7.073;0002F_on:0.3482;0002FillPercent:017.76;0002KineticInconsistentLower:0;0002KineticInconsistentMetadata:-815.992708723979|3.02;0002MeanDecodingIntensity:1656.18;0002MeanDecodingIntensity_488:1656.18;0002MeanDecodingIntensity_647:35.39;0002MeanDecodingIntensity_700:31.12;0002MeanDecodingIntensity_750:36.30;0002ReflectiveIntensity:13235.28;0002ReflectiveIntensityStdDev:668.539;0002SealTimeEstimate:13.4;0021_DecodingIntensityStdDev_577F1:43.477;0021_DecodingIntensityStdDev_577F2:104.727;0021_MeanDecodingIntensity_577F1:437.98;0021_MeanDecodingIntensity_577F2:483.76;0021AEB:00.2871;0021DecodingIntensityStdDev:97.965;0021DecodingIntensityStdDev_488:29.186;0021DecodingIntensityStdDev_647:97.965;0021DecodingIntensityStdDev_700:11.646;0021DecodingIntensityStdDev_750:8.289;0021F_on:0.2496;0021FillPercent:010.30;0021KineticInconsistentLower:0;0021KineticInconsistentMetadata:-625.90452743549|2.61;0021MeanDecodingIntensity:428.60;0021MeanDecodingIntensity_488:153.94;0021MeanDecodingIntensity_647:428.60;0021MeanDecodingIntensity_700:70.64;0021MeanDecodingIntensity_750:37.21;0021ReflectiveIntensity:13004.34;0021ReflectiveIntensityStdDev:578.116;0021SealTimeEstimate:16.9;0201_DecodingIntensityStdDev_577F1:44.324;0201_DecodingIntensityStdDev_577F2:98.722;0201_MeanDecodingIntensity_577F1:442.03;0201_MeanDecodingIntensity_577F2:488.69;0201AEB:00.3734;0201DecodingIntensityStdDev:158.135;0201DecodingIntensityStdDev_488:64.386;0201DecodingIntensityStdDev_647:66.799;0201DecodingIntensityStdDev_700:158.135;0201DecodingIntensityStdDev_750:20.278;0201F_on:0.3116;0201FillPercent:012.79;0201KineticInconsistentLower:0;0201KineticInconsistentMetadata:-490.925013829943|2.3;0201MeanDecodingIntensity:524.94;0201MeanDecodingIntensity_488:165.48;0201MeanDecodingIntensity_647:115.81;0201MeanDecodingIntensity_700:524.94;0201MeanDecodingIntensity_750:68.73;0201ReflectiveIntensity:13191.48;0201ReflectiveIntensityStdDev:706.323;0201SealTimeEstimate:21.1;2001_DecodingIntensityStdDev_577F1:46.843;2001_DecodingIntensityStdDev_577F2:102.780;2001_MeanDecodingIntensity_577F1:469.96;2001_MeanDecodingIntensity_577F2:515.67;2001AEB:00.3784;2001DecodingIntensityStdDev:279.013;2001DecodingIntensityStdDev_488:83.775;2001DecodingIntensityStdDev_647:13.142;2001DecodingIntensityStdDev_700:8.748;2001DecodingIntensityStdDev_750:279.013;2001F_on:0.3150;2001FillPercent:011.84;2001KineticInconsistentLower:0;2001KineticInconsistentMetadata:-522.203899026049|2.29;2001MeanDecodingIntensity:962.37;2001MeanDecodingIntensity_488:166.45;2001MeanDecodingIntensity_647:39.84;2001MeanDecodingIntensity_700:35.86;2001MeanDecodingIntensity_750:962.37;2001ReflectiveIntensity:13108.71;2001ReflectiveIntensityStdDev:649.340;2001SealTimeEstimate:21.3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15.04;Empties488F1MeanIntensity:78.35;Empties577F1IntensityStdDev:27.86;Empties577F1MeanIntensity:390.52;Empties577F2IntensityStdDev:62.18;Empties577F2MeanIntensity:389.55;Empties647F1IntensityStdDev:4.67;Empties647F1MeanIntensity:31.74;Empties700F1IntensityStdDev:4.69;Empties700F1MeanIntensity:29.89;Empties750F1IntensityStdDev:5.92;Empties750F1MeanIntensity:34.67;EmptiesIGrowth:307.80;EmptiesReflectiveIntensityStdDev:371.79;EmptiesReflectiveMeanIntensity:11758.94;Errors:;F2minusF1Shift:-3.4;FluorescenceClassification:Normal;Focus_FracImageLost:0.00;FocusScoresAvg:3.85;FocusScoresImageCenter:3.50;FocusScoresMax:5.60;FocusScoresMedian:3.85;FractionImageDebris:0.1331;FractionWellsDebris:0.1293;ImageQualityScoreIfUnpegged:1.00;IndexingWellsMissingFromFov:1722;IndexingWellsTotalLostBothVisibleAndMissing:3728;IndexingWellsVisibleInFovButRemoved:2006;L1DR time (ms):25832;NetBeadFillRate:36.97;NormalizedFillPercentage:052.69;Notes:Indexing: stripe across bottom | Xtalk: usable out of spec wv 577 sr 8 dir 5 value 0.043.;NumberDecSaturated:1;NumberEmpties:47185;NumberFlagged_DeadPixels:85.0000;NumberFlagged_Debris:24343.0000;NumberFlagged_MissingNeighbor:5011.0000;NumberFlagged_NeighborSaturated:18.0000;NumberFlagged_OddlyRecurrentClassification:28897.0000;NumberFlagged_OutOfBounds:3128.0000;NumberFlagged_SaturatedPixelDecodingFour:01.0000;NumberFlagged_SaturatedPixelResorufinTwo:02.0000;NumberInvalidWells:46155;NumberPositiveEmpties:267;NumberPositives:50512;NumberResSaturated:2;NumberSaturatedWithoutDebris:3;NumberValidUnclassified:42409.00;NumberValidWells:142136;OddlyAggregatedFlag:2;OddlyAggregatedLocations:;OddlyAggregatedWorst:0;OffsetW488:( 0, 0 );OffsetW577:( 0, 0 );OffsetW647:( 0, 0 );OffsetW700:( 0, 0 );OffsetW750:( 0, 0 );ResorufinUnsaturated:0;ResorufinUnsaturatedMutated:0;ResorufinUnsaturaterNumberInFit:82;SaturatedDecodingWells:3;SuspiciousWells:24757;SuspiciousWellsFlagged:1;SuspiciousWellsLowerThreshold:7;Warnings:;WhiteLightChannelMedian:9879;XtalkSubregionsOutOfSpec:0</t>
  </si>
  <si>
    <t>spikein-high-1-2-5</t>
  </si>
  <si>
    <t>Plate 2 - Well E7</t>
  </si>
  <si>
    <t>0002_DecodingIntensityStdDev_577F1:133.103;0002_DecodingIntensityStdDev_577F2:266.701;0002_MeanDecodingIntensity_577F1:614.02;0002_MeanDecodingIntensity_577F2:864.26;0002AEB:-;0002DecodingIntensityStdDev:330.589;0002DecodingIntensityStdDev_488:330.589;0002DecodingIntensityStdDev_647:4.524;0002DecodingIntensityStdDev_700:4.253;0002DecodingIntensityStdDev_750:5.145;0002F_on:0.9963;0002FillPercent:010.06;0002KineticInconsistentLower:0;0002KineticInconsistentMetadata:-459.699445900359|2.21;0002MeanDecodingIntensity:1577.91;0002MeanDecodingIntensity_488:1577.91;0002MeanDecodingIntensity_647:34.83;0002MeanDecodingIntensity_700:29.83;0002MeanDecodingIntensity_750:34.15;0002ReflectiveIntensity:13013.29;0002ReflectiveIntensityStdDev:584.812;0002SealTimeEstimate:22.7;0021_DecodingIntensityStdDev_577F1:117.950;0021_DecodingIntensityStdDev_577F2:236.837;0021_MeanDecodingIntensity_577F1:636.15;0021_MeanDecodingIntensity_577F2:921.47;0021AEB:-;0021DecodingIntensityStdDev:77.315;0021DecodingIntensityStdDev_488:19.029;0021DecodingIntensityStdDev_647:77.315;0021DecodingIntensityStdDev_700:8.815;0021DecodingIntensityStdDev_750:5.212;0021F_on:0.9991;0021FillPercent:005.89;0021KineticInconsistentLower:0;0021KineticInconsistentMetadata:-439.845038000317|2.19;0021MeanDecodingIntensity:417.88;0021MeanDecodingIntensity_488:138.31;0021MeanDecodingIntensity_647:417.88;0021MeanDecodingIntensity_700:67.91;0021MeanDecodingIntensity_750:34.21;0021ReflectiveIntensity:12778.00;0021ReflectiveIntensityStdDev:507.422;0021SealTimeEstimate:23.1;0201_DecodingIntensityStdDev_577F1:116.423;0201_DecodingIntensityStdDev_577F2:231.783;0201_MeanDecodingIntensity_577F1:624.43;0201_MeanDecodingIntensity_577F2:895.80;0201AEB:-;0201DecodingIntensityStdDev:90.283;0201DecodingIntensityStdDev_488:19.871;0201DecodingIntensityStdDev_647:13.353;0201DecodingIntensityStdDev_700:90.283;0201DecodingIntensityStdDev_750:8.834;0201F_on:0.9992;0201FillPercent:006.48;0201KineticInconsistentLower:0;0201KineticInconsistentMetadata:-440.628630553174|2.19;0201MeanDecodingIntensity:496.87;0201MeanDecodingIntensity_488:139.42;0201MeanDecodingIntensity_647:97.81;0201MeanDecodingIntensity_700:496.87;0201MeanDecodingIntensity_750:63.90;0201ReflectiveIntensity:12786.68;0201ReflectiveIntensityStdDev:496.953;0201SealTimeEstimate:23.1;2001_DecodingIntensityStdDev_577F1:120.863;2001_DecodingIntensityStdDev_577F2:239.167;2001_MeanDecodingIntensity_577F1:655.03;2001_MeanDecodingIntensity_577F2:925.84;2001AEB:-;2001DecodingIntensityStdDev:190.415;2001DecodingIntensityStdDev_488:20.217;2001DecodingIntensityStdDev_647:4.768;2001DecodingIntensityStdDev_700:4.747;2001DecodingIntensityStdDev_750:190.415;2001F_on:0.9996;2001FillPercent:006.23;2001KineticInconsistentLower:0;2001KineticInconsistentMetadata:-469.675083686682|2.18;2001MeanDecodingIntensity:978.14;2001MeanDecodingIntensity_488:139.73;2001MeanDecodingIntensity_647:37.88;2001MeanDecodingIntensity_700:33.81;2001MeanDecodingIntensity_750:978.14;2001ReflectiveIntensity:12797.26;2001ReflectiveIntensityStdDev:523.909;2001SealTimeEstimate:23.3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10.40;Empties488F1MeanIntensity:70.46;Empties577F1IntensityStdDev:60.24;Empties577F1MeanIntensity:375.17;Empties577F2IntensityStdDev:110.92;Empties577F2MeanIntensity:379.12;Empties647F1IntensityStdDev:4.09;Empties647F1MeanIntensity:31.67;Empties700F1IntensityStdDev:3.93;Empties700F1MeanIntensity:29.31;Empties750F1IntensityStdDev:4.62;Empties750F1MeanIntensity:33.39;EmptiesIGrowth:479.21;EmptiesReflectiveIntensityStdDev:340.00;EmptiesReflectiveMeanIntensity:11597.86;Errors:;F2minusF1Shift:-1.0;FittedF2OverF1Intercept:-441.996582889644;FittedF2OverF1Slope:2.01400959944606;FluorescenceClassification:Normal;Focus_FracImageLost:0.00;FocusScoresAvg:3.07;FocusScoresImageCenter:3.94;FocusScoresMax:4.57;FocusScoresMedian:3.00;FractionImageDebris:0.1037;FractionWellsDebris:0.1208;ImageQualityScoreIfUnpegged:1.00;IndexingWellsMissingFromFov:0;IndexingWellsTotalLostBothVisibleAndMissing:0;IndexingWellsVisibleInFovButRemoved:0;L1DR time (ms):29444;NetBeadFillRate:20.16;NormalizedFillPercentage:028.65;Notes:Xtalk: usable out of spec wv 577 sr 4 dir 5 value 0.038. | Xtalk: usable out of spec wv 577 sr 8 dir 5 value 0.043.;NumberDecSaturated:0;NumberEmpties:82993;NumberFlagged_DeadPixels:70.0000;NumberFlagged_Debris:23301.0000;NumberFlagged_MissingNeighbor:2368.0000;NumberFlagged_NeighborSaturated:78.0000;NumberFlagged_OddlyRecurrentClassification:2212.0000;NumberFlagged_OutOfBounds:4097.0000;NumberFlagged_SaturatedPixelResorufinTwo:13.0000;NumberFlagged_SaturationRemoverSuspiciousF1:09.0000;NumberInvalidWells:27523;NumberPositiveEmpties:294;NumberPositives:57629;NumberResSaturated:13;NumberSaturatedWithoutDebris:8;NumberValidUnclassified:49032.00;NumberValidWells:165355;OddlyAggregatedFlag:2;OddlyAggregatedLocations:;OddlyAggregatedWorst:0;OffsetW488:( 0, 0 );OffsetW577:( 0, 0 );OffsetW647:( 0, 0 );OffsetW700:( 0, 0 );OffsetW750:( 0, 0 );ResorufinUnsaturated:1;ResorufinUnsaturatedMutated:3;ResorufinUnsaturatedSuspiciousF1:9;ResorufinUnsaturaterNumberInFit:1569;SaturatedDecodingWells:0;SuspiciousWells:26889;SuspiciousWellsFlagged:1;SuspiciousWellsLowerThreshold:2;Warnings:;WhiteLightChannelMedian:9681;XtalkSubregionsOutOfSpec:0</t>
  </si>
  <si>
    <t>0002_DecodingIntensityStdDev_577F1:119.476;0002_DecodingIntensityStdDev_577F2:244.309;0002_MeanDecodingIntensity_577F1:615.91;0002_MeanDecodingIntensity_577F2:880.73;0002AEB:-;0002DecodingIntensityStdDev:376.080;0002DecodingIntensityStdDev_488:376.080;0002DecodingIntensityStdDev_647:5.329;0002DecodingIntensityStdDev_700:5.064;0002DecodingIntensityStdDev_750:6.503;0002F_on:0.9986;0002FillPercent:015.47;0002KineticInconsistentLower:0;0002KineticInconsistentMetadata:-480.553190176263|2.26;0002MeanDecodingIntensity:1624.63;0002MeanDecodingIntensity_488:1624.63;0002MeanDecodingIntensity_647:35.56;0002MeanDecodingIntensity_700:30.70;0002MeanDecodingIntensity_750:35.82;0002ReflectiveIntensity:13246.13;0002ReflectiveIntensityStdDev:649.313;0002SealTimeEstimate:21.8;0021_DecodingIntensityStdDev_577F1:115.128;0021_DecodingIntensityStdDev_577F2:238.180;0021_MeanDecodingIntensity_577F1:635.95;0021_MeanDecodingIntensity_577F2:933.25;0021AEB:-;0021DecodingIntensityStdDev:88.944;0021DecodingIntensityStdDev_488:24.264;0021DecodingIntensityStdDev_647:88.944;0021DecodingIntensityStdDev_700:10.204;0021DecodingIntensityStdDev_750:6.805;0021F_on:0.9996;0021FillPercent:009.49;0021KineticInconsistentLower:0;0021KineticInconsistentMetadata:-481.01643747112|2.27;0021MeanDecodingIntensity:424.16;0021MeanDecodingIntensity_488:147.79;0021MeanDecodingIntensity_647:424.16;0021MeanDecodingIntensity_700:69.77;0021MeanDecodingIntensity_750:35.79;0021ReflectiveIntensity:12990.14;0021ReflectiveIntensityStdDev:524.263;0021SealTimeEstimate:21.6;0201_DecodingIntensityStdDev_577F1:123.836;0201_DecodingIntensityStdDev_577F2:248.999;0201_MeanDecodingIntensity_577F1:633.13;0201_MeanDecodingIntensity_577F2:924.67;0201AEB:-;0201DecodingIntensityStdDev:122.173;0201DecodingIntensityStdDev_488:30.406;0201DecodingIntensityStdDev_647:26.323;0201DecodingIntensityStdDev_700:122.173;0201DecodingIntensityStdDev_750:11.808;0201F_on:0.9992;0201FillPercent:011.17;0201KineticInconsistentLower:0;0201KineticInconsistentMetadata:-463.167674910749|2.24;0201MeanDecodingIntensity:503.68;0201MeanDecodingIntensity_488:151.13;0201MeanDecodingIntensity_647:100.66;0201MeanDecodingIntensity_700:503.68;0201MeanDecodingIntensity_750:66.04;0201ReflectiveIntensity:13059.55;0201ReflectiveIntensityStdDev:571.371;0201SealTimeEstimate:22.2;2001_DecodingIntensityStdDev_577F1:121.557;2001_DecodingIntensityStdDev_577F2:247.306;2001_MeanDecodingIntensity_577F1:657.88;2001_MeanDecodingIntensity_577F2:944.19;2001AEB:-;2001DecodingIntensityStdDev:235.086;2001DecodingIntensityStdDev_488:26.897;2001DecodingIntensityStdDev_647:5.775;2001DecodingIntensityStdDev_700:5.874;2001DecodingIntensityStdDev_750:235.086;2001F_on:0.9989;2001FillPercent:010.60;2001KineticInconsistentLower:0;2001KineticInconsistentMetadata:-504.989255635205|2.25;2001MeanDecodingIntensity:977.45;2001MeanDecodingIntensity_488:149.57;2001MeanDecodingIntensity_647:38.69;2001MeanDecodingIntensity_700:35.00;2001MeanDecodingIntensity_750:977.45;2001ReflectiveIntensity:13041.67;2001ReflectiveIntensityStdDev:560.933;2001SealTimeEstimate:22.0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14.01;Empties488F1MeanIntensity:76.41;Empties577F1IntensityStdDev:38.41;Empties577F1MeanIntensity:374.05;Empties577F2IntensityStdDev:72.14;Empties577F2MeanIntensity:379.75;Empties647F1IntensityStdDev:4.76;Empties647F1MeanIntensity:32.06;Empties700F1IntensityStdDev:4.71;Empties700F1MeanIntensity:30.02;Empties750F1IntensityStdDev:5.83;Empties750F1MeanIntensity:34.57;EmptiesIGrowth:306.40;EmptiesReflectiveIntensityStdDev:320.17;EmptiesReflectiveMeanIntensity:11717.27;Errors:;F2minusF1Shift:-4.0;FittedF2OverF1Intercept:-454.698971038414;FittedF2OverF1Slope:2.02007175516834;FluorescenceClassification:Normal;Focus_FracImageLost:0.00;FocusScoresAvg:3.43;FocusScoresImageCenter:3.86;FocusScoresMax:4.85;FocusScoresMedian:3.39;FractionImageDebris:0.2599;FractionWellsDebris:0.2861;ImageQualityScoreIfUnpegged:1.00;IndexingWellsMissingFromFov:0;IndexingWellsTotalLostBothVisibleAndMissing:0;IndexingWellsVisibleInFovButRemoved:0;L1DR time (ms):26192;NetBeadFillRate:32.76;NormalizedFillPercentage:046.73;Notes:Xtalk: usable out of spec wv 577 sr 4 dir 5 value 0.041. | Xtalk: usable out of spec wv 577 sr 7 dir 3 value 0.036. | Xtalk: usable out of spec wv 577 sr 8 dir 5 value 0.038. | Xtalk: usable out of spec wv 577 sr 11 dir 3 value 0.043.;NumberDecSaturated:2;NumberEmpties:38004;NumberFlagged_DeadPixels:76.0000;NumberFlagged_Debris:55139.0000;NumberFlagged_MissingNeighbor:3225.0000;NumberFlagged_NeighborSaturated:61.0000;NumberFlagged_OddlyRecurrentClassification:63504.0000;NumberFlagged_OutOfBounds:4109.0000;NumberFlagged_SaturatedPixelDecodingFour:02.0000;NumberFlagged_SaturatedPixelResorufinTwo:09.0000;NumberFlagged_SaturationRemoverSuspiciousF1:08.0000;NumberInvalidWells:90959;NumberPositiveEmpties:177;NumberPositives:100253;NumberResSaturated:9;NumberSaturatedWithoutDebris:2;NumberValidUnclassified:30425.00;NumberValidWells:101769;OddlyAggregatedFlag:2;OddlyAggregatedLocations:;OddlyAggregatedWorst:0;OffsetW488:( 0, 0 );OffsetW577:( 0, 0 );OffsetW647:( 0, 1 );OffsetW700:( 0, 0 );OffsetW750:( 0, 0 );ResorufinUnsaturated:1;ResorufinUnsaturatedMutated:2;ResorufinUnsaturatedSuspiciousF1:8;ResorufinUnsaturaterNumberInFit:4256;SaturatedDecodingWells:0;SuspiciousWells:24480;SuspiciousWellsFlagged:1;SuspiciousWellsLowerThreshold:6;Warnings:;WhiteLightChannelMedian:9984;XtalkSubregionsOutOfSpec:0</t>
  </si>
  <si>
    <t>spikein-high-1-2-6</t>
  </si>
  <si>
    <t>Plate 2 - Well F7</t>
  </si>
  <si>
    <t>0002_DecodingIntensityStdDev_577F1:100.921;0002_DecodingIntensityStdDev_577F2:213.856;0002_MeanDecodingIntensity_577F1:497.82;0002_MeanDecodingIntensity_577F2:616.38;0002AEB:-;0002DecodingIntensityStdDev:387.347;0002DecodingIntensityStdDev_488:387.347;0002DecodingIntensityStdDev_647:5.310;0002DecodingIntensityStdDev_700:5.327;0002DecodingIntensityStdDev_750:6.708;0002F_on:0.8211;0002FillPercent:016.26;0002KineticInconsistentLower:0;0002KineticInconsistentMetadata:-485.931279151712|2.27;0002MeanDecodingIntensity:1568.53;0002MeanDecodingIntensity_488:1568.53;0002MeanDecodingIntensity_647:35.26;0002MeanDecodingIntensity_700:30.81;0002MeanDecodingIntensity_750:35.84;0002ReflectiveIntensity:13186.15;0002ReflectiveIntensityStdDev:662.589;0002SealTimeEstimate:21.6;0021_DecodingIntensityStdDev_577F1:74.797;0021_DecodingIntensityStdDev_577F2:153.887;0021_MeanDecodingIntensity_577F1:481.24;0021_MeanDecodingIntensity_577F2:585.18;0021AEB:-;0021DecodingIntensityStdDev:95.908;0021DecodingIntensityStdDev_488:25.954;0021DecodingIntensityStdDev_647:95.908;0021DecodingIntensityStdDev_700:10.909;0021DecodingIntensityStdDev_750:7.293;0021F_on:0.8778;0021FillPercent:009.81;0021KineticInconsistentLower:0;0021KineticInconsistentMetadata:-407.364316681714|2.11;0021MeanDecodingIntensity:418.22;0021MeanDecodingIntensity_488:146.72;0021MeanDecodingIntensity_647:418.22;0021MeanDecodingIntensity_700:69.00;0021MeanDecodingIntensity_750:36.19;0021ReflectiveIntensity:12958.51;0021ReflectiveIntensityStdDev:572.973;0021SealTimeEstimate:24.9;0201_DecodingIntensityStdDev_577F1:79.333;0201_DecodingIntensityStdDev_577F2:160.870;0201_MeanDecodingIntensity_577F1:479.55;0201_MeanDecodingIntensity_577F2:580.34;0201AEB:-;0201DecodingIntensityStdDev:135.487;0201DecodingIntensityStdDev_488:31.917;0201DecodingIntensityStdDev_647:28.542;0201DecodingIntensityStdDev_700:135.487;0201DecodingIntensityStdDev_750:13.271;0201F_on:0.8552;0201FillPercent:011.80;0201KineticInconsistentLower:0;0201KineticInconsistentMetadata:-394.121608166394|2.08;0201MeanDecodingIntensity:498.25;0201MeanDecodingIntensity_488:150.30;0201MeanDecodingIntensity_647:100.89;0201MeanDecodingIntensity_700:498.25;0201MeanDecodingIntensity_750:66.13;0201ReflectiveIntensity:13040.28;0201ReflectiveIntensityStdDev:614.545;0201SealTimeEstimate:25.6;2001_DecodingIntensityStdDev_577F1:75.482;2001_DecodingIntensityStdDev_577F2:152.179;2001_MeanDecodingIntensity_577F1:507.95;2001_MeanDecodingIntensity_577F2:606.82;2001AEB:-;2001DecodingIntensityStdDev:246.831;2001DecodingIntensityStdDev_488:36.598;2001DecodingIntensityStdDev_647:6.984;2001DecodingIntensityStdDev_700:6.822;2001DecodingIntensityStdDev_750:246.831;2001F_on:0.8547;2001FillPercent:011.05;2001KineticInconsistentLower:0;2001KineticInconsistentMetadata:-404.806882875709|2.04;2001MeanDecodingIntensity:949.83;2001MeanDecodingIntensity_488:150.37;2001MeanDecodingIntensity_647:38.58;2001MeanDecodingIntensity_700:35.28;2001MeanDecodingIntensity_750:949.83;2001ReflectiveIntensity:13018.45;2001ReflectiveIntensityStdDev:601.710;2001SealTimeEstimate:26.7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14.73;Empties488F1MeanIntensity:76.49;Empties577F1IntensityStdDev:58.41;Empties577F1MeanIntensity:380.32;Empties577F2IntensityStdDev:114.81;Empties577F2MeanIntensity:384.45;Empties647F1IntensityStdDev:4.82;Empties647F1MeanIntensity:31.93;Empties700F1IntensityStdDev:4.92;Empties700F1MeanIntensity:30.10;Empties750F1IntensityStdDev:6.00;Empties750F1MeanIntensity:34.69;EmptiesIGrowth:435.69;EmptiesReflectiveIntensityStdDev:355.37;EmptiesReflectiveMeanIntensity:11673.95;Errors:;F2minusF1Shift:-2.0;FittedF2OverF1Intercept:-447.30642644543;FittedF2OverF1Slope:2.08100934286556;FluorescenceClassification:Normal;Focus_FracImageLost:0.00;FocusScoresAvg:3.48;FocusScoresImageCenter:4.18;FocusScoresMax:4.90;FocusScoresMedian:3.52;FractionImageDebris:0.2039;FractionWellsDebris:0.2171;ImageQualityScoreIfUnpegged:1.00;IndexingWellsMissingFromFov:0;IndexingWellsTotalLostBothVisibleAndMissing:0;IndexingWellsVisibleInFovButRemoved:0;L1DR time (ms):25947;NetBeadFillRate:34.29;NormalizedFillPercentage:048.92;Notes:Xtalk: usable out of spec wv 577 sr 4 dir 5 value 0.046. | Xtalk: usable out of spec wv 577 sr 8 dir 5 value 0.043. | Xtalk: usable out of spec wv 488 sr 4 dir 5 value 0.036.;NumberDecSaturated:2;NumberEmpties:41024;NumberFlagged_DeadPixels:80.0000;NumberFlagged_Debris:41752.0000;NumberFlagged_MissingNeighbor:3818.0000;NumberFlagged_NeighborSaturated:29.0000;NumberFlagged_OddlyRecurrentClassification:53731.0000;NumberFlagged_OutOfBounds:4166.0000;NumberFlagged_SaturatedPixelDecodingFour:02.0000;NumberFlagged_SaturatedPixelResorufinTwo:03.0000;NumberFlagged_SaturationRemoverSuspiciousF1:03.0000;NumberInvalidWells:77664;NumberPositiveEmpties:262;NumberPositives:91076;NumberResSaturated:3;NumberSaturatedWithoutDebris:1;NumberValidUnclassified:34297.00;NumberValidWells:114618;OddlyAggregatedFlag:2;OddlyAggregatedLocations:;OddlyAggregatedWorst:0;OffsetW488:( 0, 0 );OffsetW577:( 0, 0 );OffsetW647:( 0, 0 );OffsetW700:( 0, 0 );OffsetW750:( 0, 0 );ResorufinUnsaturated:1;ResorufinUnsaturatedMutated:0;ResorufinUnsaturatedSuspiciousF1:3;ResorufinUnsaturaterNumberInFit:482;SaturatedDecodingWells:1;SuspiciousWells:19783;SuspiciousWellsFlagged:1;SuspiciousWellsLowerThreshold:7;Warnings:;WhiteLightChannelMedian:10015;XtalkSubregionsOutOfSpec:0</t>
  </si>
  <si>
    <t>0002_DecodingIntensityStdDev_577F1:86.121;0002_DecodingIntensityStdDev_577F2:189.282;0002_MeanDecodingIntensity_577F1:482.97;0002_MeanDecodingIntensity_577F2:595.47;0002AEB:-;0002DecodingIntensityStdDev:338.443;0002DecodingIntensityStdDev_488:338.443;0002DecodingIntensityStdDev_647:4.801;0002DecodingIntensityStdDev_700:4.677;0002DecodingIntensityStdDev_750:5.918;0002F_on:0.8174;0002FillPercent:012.96;0002KineticInconsistentLower:0;0002KineticInconsistentMetadata:-522.444134970932|2.37;0002MeanDecodingIntensity:1502.83;0002MeanDecodingIntensity_488:1502.83;0002MeanDecodingIntensity_647:34.73;0002MeanDecodingIntensity_700:30.05;0002MeanDecodingIntensity_750:34.69;0002ReflectiveIntensity:12926.71;0002ReflectiveIntensityStdDev:601.446;0002SealTimeEstimate:20.0;0021_DecodingIntensityStdDev_577F1:54.540;0021_DecodingIntensityStdDev_577F2:113.001;0021_MeanDecodingIntensity_577F1:464.78;0021_MeanDecodingIntensity_577F2:559.85;0021AEB:-;0021DecodingIntensityStdDev:82.661;0021DecodingIntensityStdDev_488:21.197;0021DecodingIntensityStdDev_647:82.661;0021DecodingIntensityStdDev_700:9.802;0021DecodingIntensityStdDev_750:5.998;0021F_on:0.8700;0021FillPercent:007.91;0021KineticInconsistentLower:0;0021KineticInconsistentMetadata:-423.150949511288|2.16;0021MeanDecodingIntensity:407.28;0021MeanDecodingIntensity_488:138.05;0021MeanDecodingIntensity_647:407.28;0021MeanDecodingIntensity_700:67.29;0021MeanDecodingIntensity_750:34.66;0021ReflectiveIntensity:12702.25;0021ReflectiveIntensityStdDev:502.613;0021SealTimeEstimate:23.8;0201_DecodingIntensityStdDev_577F1:66.636;0201_DecodingIntensityStdDev_577F2:139.213;0201_MeanDecodingIntensity_577F1:462.73;0201_MeanDecodingIntensity_577F2:554.75;0201AEB:-;0201DecodingIntensityStdDev:114.688;0201DecodingIntensityStdDev_488:24.383;0201DecodingIntensityStdDev_647:19.582;0201DecodingIntensityStdDev_700:114.688;0201DecodingIntensityStdDev_750:10.673;0201F_on:0.8473;0201FillPercent:009.06;0201KineticInconsistentLower:0;0201KineticInconsistentMetadata:-410.118903042362|2.13;0201MeanDecodingIntensity:484.38;0201MeanDecodingIntensity_488:140.36;0201MeanDecodingIntensity_647:95.92;0201MeanDecodingIntensity_700:484.38;0201MeanDecodingIntensity_750:63.51;0201ReflectiveIntensity:12738.15;0201ReflectiveIntensityStdDev:539.633;0201SealTimeEstimate:24.4;2001_DecodingIntensityStdDev_577F1:53.417;2001_DecodingIntensityStdDev_577F2:104.271;2001_MeanDecodingIntensity_577F1:489.82;2001_MeanDecodingIntensity_577F2:578.04;2001AEB:-;2001DecodingIntensityStdDev:229.261;2001DecodingIntensityStdDev_488:23.683;2001DecodingIntensityStdDev_647:5.457;2001DecodingIntensityStdDev_700:5.451;2001DecodingIntensityStdDev_750:229.261;2001F_on:0.8395;2001FillPercent:008.61;2001KineticInconsistentLower:0;2001KineticInconsistentMetadata:-413.166464589865|2.07;2001MeanDecodingIntensity:962.32;2001MeanDecodingIntensity_488:139.79;2001MeanDecodingIntensity_647:37.77;2001MeanDecodingIntensity_700:34.18;2001MeanDecodingIntensity_750:962.32;2001ReflectiveIntensity:12745.83;2001ReflectiveIntensityStdDev:545.489;2001SealTimeEstimate:25.9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10.99;Empties488F1MeanIntensity:69.28;Empties577F1IntensityStdDev:22.03;Empties577F1MeanIntensity:375.58;Empties577F2IntensityStdDev:35.68;Empties577F2MeanIntensity:376.43;Empties647F1IntensityStdDev:4.22;Empties647F1MeanIntensity:31.47;Empties700F1IntensityStdDev:4.10;Empties700F1MeanIntensity:29.25;Empties750F1IntensityStdDev:5.00;Empties750F1MeanIntensity:33.52;EmptiesIGrowth:212.19;EmptiesReflectiveIntensityStdDev:333.71;EmptiesReflectiveMeanIntensity:11512.72;Errors:;F2minusF1Shift:0.0;FluorescenceClassification:Normal;Focus_FracImageLost:0.00;FocusScoresAvg:3.33;FocusScoresImageCenter:3.91;FocusScoresMax:4.99;FocusScoresMedian:3.30;FractionImageDebris:0.1136;FractionWellsDebris:0.1278;ImageQualityScoreIfUnpegged:1.00;IndexingWellsMissingFromFov:0;IndexingWellsTotalLostBothVisibleAndMissing:0;IndexingWellsVisibleInFovButRemoved:0;L1DR time (ms):28412;NetBeadFillRate:27.07;NormalizedFillPercentage:038.54;Notes:Xtalk: usable out of spec wv 577 sr 4 dir 5 value 0.036. | Xtalk: usable out of spec wv 577 sr 8 dir 5 value 0.038.;NumberDecSaturated:0;NumberEmpties:64257;NumberFlagged_DeadPixels:76.0000;NumberFlagged_Debris:24624.0000;NumberFlagged_MissingNeighbor:2624.0000;NumberFlagged_OddlyRecurrentClassification:26060.0000;NumberFlagged_OutOfBounds:4046.0000;NumberInvalidWells:43815;NumberPositiveEmpties:159;NumberPositives:71631;NumberResSaturated:0;NumberSaturatedWithoutDebris:0;NumberValidUnclassified:44330.00;NumberValidWells:148887;OddlyAggregatedFlag:2;OddlyAggregatedLocations:;OddlyAggregatedWorst:0;OffsetW488:( 0, 0 );OffsetW577:( 0, 0 );OffsetW647:( 0, 0 );OffsetW700:( 0, 0 );OffsetW750:( 0, 0 );ResorufinUnsaturated:0;ResorufinUnsaturatedMutated:0;ResorufinUnsaturaterNumberInFit:143;SaturatedDecodingWells:0;SuspiciousWells:20227;SuspiciousWellsFlagged:1;SuspiciousWellsLowerThreshold:5;Warnings:;WhiteLightChannelMedian:9703;XtalkSubregionsOutOfSpec:0</t>
  </si>
  <si>
    <t>0002_DecodingIntensityStdDev_577F1:100.507;0002_DecodingIntensityStdDev_577F2:212.957;0002_MeanDecodingIntensity_577F1:488.81;0002_MeanDecodingIntensity_577F2:599.34;0002AEB:-;0002DecodingIntensityStdDev:364.833;0002DecodingIntensityStdDev_488:364.833;0002DecodingIntensityStdDev_647:5.198;0002DecodingIntensityStdDev_700:4.792;0002DecodingIntensityStdDev_750:6.212;0002F_on:0.7947;0002FillPercent:014.85;0002KineticInconsistentLower:0;0002KineticInconsistentMetadata:-485.16836215973|2.27;0002MeanDecodingIntensity:1588.69;0002MeanDecodingIntensity_488:1588.69;0002MeanDecodingIntensity_647:35.12;0002MeanDecodingIntensity_700:30.33;0002MeanDecodingIntensity_750:35.14;0002ReflectiveIntensity:13074.00;0002ReflectiveIntensityStdDev:603.424;0002SealTimeEstimate:21.6;0021_DecodingIntensityStdDev_577F1:69.350;0021_DecodingIntensityStdDev_577F2:141.916;0021_MeanDecodingIntensity_577F1:469.38;0021_MeanDecodingIntensity_577F2:563.65;0021AEB:-;0021DecodingIntensityStdDev:87.126;0021DecodingIntensityStdDev_488:21.800;0021DecodingIntensityStdDev_647:87.126;0021DecodingIntensityStdDev_700:10.181;0021DecodingIntensityStdDev_750:6.463;0021F_on:0.8529;0021FillPercent:008.83;0021KineticInconsistentLower:0;0021KineticInconsistentMetadata:-401.958147794008|2.1;0021MeanDecodingIntensity:426.76;0021MeanDecodingIntensity_488:141.46;0021MeanDecodingIntensity_647:426.76;0021MeanDecodingIntensity_700:69.45;0021MeanDecodingIntensity_750:35.30;0021ReflectiveIntensity:12843.12;0021ReflectiveIntensityStdDev:495.603;0021SealTimeEstimate:25.1;0201_DecodingIntensityStdDev_577F1:68.469;0201_DecodingIntensityStdDev_577F2:139.612;0201_MeanDecodingIntensity_577F1:466.93;0201_MeanDecodingIntensity_577F2:557.71;0201AEB:-;0201DecodingIntensityStdDev:116.619;0201DecodingIntensityStdDev_488:24.909;0201DecodingIntensityStdDev_647:17.113;0201DecodingIntensityStdDev_700:116.619;0201DecodingIntensityStdDev_750:10.898;0201F_on:0.8306;0201FillPercent:010.21;0201KineticInconsistentLower:0;0201KineticInconsistentMetadata:-393.16786344252|2.08;0201MeanDecodingIntensity:507.62;0201MeanDecodingIntensity_488:143.91;0201MeanDecodingIntensity_647:98.17;0201MeanDecodingIntensity_700:507.62;0201MeanDecodingIntensity_750:65.11;0201ReflectiveIntensity:12892.48;0201ReflectiveIntensityStdDev:522.482;0201SealTimeEstimate:25.6;2001_DecodingIntensityStdDev_577F1:76.786;2001_DecodingIntensityStdDev_577F2:153.329;2001_MeanDecodingIntensity_577F1:497.88;2001_MeanDecodingIntensity_577F2:587.36;2001AEB:-;2001DecodingIntensityStdDev:232.640;2001DecodingIntensityStdDev_488:23.905;2001DecodingIntensityStdDev_647:5.417;2001DecodingIntensityStdDev_700:5.630;2001DecodingIntensityStdDev_750:232.640;2001F_on:0.8227;2001FillPercent:009.65;2001KineticInconsistentLower:0;2001KineticInconsistentMetadata:-406.097253514034|2.04;2001MeanDecodingIntensity:995.69;2001MeanDecodingIntensity_488:143.34;2001MeanDecodingIntensity_647:38.26;2001MeanDecodingIntensity_700:34.63;2001MeanDecodingIntensity_750:995.69;2001ReflectiveIntensity:12897.06;2001ReflectiveIntensityStdDev:552.284;2001SealTimeEstimate:26.7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11.89;Empties488F1MeanIntensity:69.46;Empties577F1IntensityStdDev:50.02;Empties577F1MeanIntensity:370.74;Empties577F2IntensityStdDev:95.99;Empties577F2MeanIntensity:373.11;Empties647F1IntensityStdDev:4.40;Empties647F1MeanIntensity:31.59;Empties700F1IntensityStdDev:4.37;Empties700F1MeanIntensity:29.48;Empties750F1IntensityStdDev:5.26;Empties750F1MeanIntensity:33.76;EmptiesIGrowth:439.32;EmptiesReflectiveIntensityStdDev:310.68;EmptiesReflectiveMeanIntensity:11643.32;Errors:;F2minusF1Shift:-1.0;FittedF2OverF1Intercept:-387.204943261369;FittedF2OverF1Slope:2.01407275155721;FluorescenceClassification:Normal;Focus_FracImageLost:0.00;FocusScoresAvg:3.27;FocusScoresImageCenter:4.27;FocusScoresMax:4.80;FocusScoresMedian:3.29;FractionImageDebris:0.1148;FractionWellsDebris:0.1265;ImageQualityScoreIfUnpegged:1.00;IndexingWellsMissingFromFov:0;IndexingWellsTotalLostBothVisibleAndMissing:0;IndexingWellsVisibleInFovButRemoved:0;L1DR time (ms):29370;NetBeadFillRate:30.55;NormalizedFillPercentage:043.54;Notes:Xtalk: usable out of spec wv 577 sr 4 dir 5 value 0.036. | Xtalk: usable out of spec wv 577 sr 8 dir 5 value 0.041.;NumberDecSaturated:0;NumberEmpties:61575;NumberFlagged_DeadPixels:76.0000;NumberFlagged_Debris:24332.0000;NumberFlagged_MissingNeighbor:3510.0000;NumberFlagged_NeighborSaturated:24.0000;NumberFlagged_OddlyRecurrentClassification:16828.0000;NumberFlagged_OutOfBounds:4000.0000;NumberFlagged_SaturatedPixelResorufinTwo:04.0000;NumberFlagged_SaturationRemoverSuspiciousF1:04.0000;NumberInvalidWells:36946;NumberPositiveEmpties:278;NumberPositives:75748;NumberResSaturated:4;NumberSaturatedWithoutDebris:1;NumberValidUnclassified:46352.00;NumberValidWells:155405;OddlyAggregatedFlag:2;OddlyAggregatedLocations:;OddlyAggregatedWorst:0;OffsetW488:( 0, 0 );OffsetW577:( 0, 0 );OffsetW647:( 0, 0 );OffsetW700:( 0, 0 );OffsetW750:( 0, 0 );ResorufinUnsaturated:1;ResorufinUnsaturatedMutated:0;ResorufinUnsaturatedSuspiciousF1:4;ResorufinUnsaturaterNumberInFit:411;SaturatedDecodingWells:0;SuspiciousWells:20642;SuspiciousWellsFlagged:1;SuspiciousWellsLowerThreshold:5;Warnings:;WhiteLightChannelMedian:9858;XtalkSubregionsOutOfSpec:0</t>
  </si>
  <si>
    <t>spikein-high-1-4-1</t>
  </si>
  <si>
    <t>Plate 2 - Well A9</t>
  </si>
  <si>
    <t>0002_DecodingIntensityStdDev_577F1:66.813;0002_DecodingIntensityStdDev_577F2:168.155;0002_MeanDecodingIntensity_577F1:426.98;0002_MeanDecodingIntensity_577F2:468.87;0002AEB:00.1994;0002DecodingIntensityStdDev:410.090;0002DecodingIntensityStdDev_488:410.090;0002DecodingIntensityStdDev_647:5.568;0002DecodingIntensityStdDev_700:5.676;0002DecodingIntensityStdDev_750:7.551;0002F_on:0.1808;0002FillPercent:018.35;0002KineticInconsistentLower:0;0002KineticInconsistentMetadata:-687.234177509848|2.79;0002MeanDecodingIntensity:1587.35;0002MeanDecodingIntensity_488:1587.35;0002MeanDecodingIntensity_647:35.12;0002MeanDecodingIntensity_700:30.99;0002MeanDecodingIntensity_750:36.46;0002ReflectiveIntensity:13332.96;0002ReflectiveIntensityStdDev:650.927;0002SealTimeEstimate:15.1;0021_DecodingIntensityStdDev_577F1:32.307;0021_DecodingIntensityStdDev_577F2:68.907;0021_MeanDecodingIntensity_577F1:401.33;0021_MeanDecodingIntensity_577F2:407.89;0021AEB:00.0192;0021DecodingIntensityStdDev:106.326;0021DecodingIntensityStdDev_488:37.537;0021DecodingIntensityStdDev_647:106.326;0021DecodingIntensityStdDev_700:17.365;0021DecodingIntensityStdDev_750:8.382;0021F_on:0.0191;0021FillPercent:011.53;0021KineticInconsistentLower:0;0021KineticInconsistentMetadata:-672.376772823133|2.78;0021MeanDecodingIntensity:420.55;0021MeanDecodingIntensity_488:147.43;0021MeanDecodingIntensity_647:420.55;0021MeanDecodingIntensity_700:69.54;0021MeanDecodingIntensity_750:36.71;0021ReflectiveIntensity:13115.49;0021ReflectiveIntensityStdDev:544.207;0021SealTimeEstimate:15.2;0201_DecodingIntensityStdDev_577F1:35.529;0201_DecodingIntensityStdDev_577F2:72.228;0201_MeanDecodingIntensity_577F1:403.58;0201_MeanDecodingIntensity_577F2:411.01;0201AEB:00.0229;0201DecodingIntensityStdDev:146.755;0201DecodingIntensityStdDev_488:81.078;0201DecodingIntensityStdDev_647:61.101;0201DecodingIntensityStdDev_700:146.755;0201DecodingIntensityStdDev_750:25.527;0201F_on:0.0227;0201FillPercent:013.90;0201KineticInconsistentLower:0;0201KineticInconsistentMetadata:-727.871695950124|2.88;0201MeanDecodingIntensity:504.29;0201MeanDecodingIntensity_488:158.37;0201MeanDecodingIntensity_647:109.58;0201MeanDecodingIntensity_700:504.29;0201MeanDecodingIntensity_750:68.03;0201ReflectiveIntensity:13220.13;0201ReflectiveIntensityStdDev:635.241;0201SealTimeEstimate:14.4;2001_DecodingIntensityStdDev_577F1:40.661;2001_DecodingIntensityStdDev_577F2:72.529;2001_MeanDecodingIntensity_577F1:432.08;2001_MeanDecodingIntensity_577F2:438.92;2001AEB:00.0219;2001DecodingIntensityStdDev:274.740;2001DecodingIntensityStdDev_488:104.240;2001DecodingIntensityStdDev_647:17.099;2001DecodingIntensityStdDev_700:9.864;2001DecodingIntensityStdDev_750:274.740;2001F_on:0.0217;2001FillPercent:012.98;2001KineticInconsistentLower:0;2001KineticInconsistentMetadata:-785.105385427973|2.87;2001MeanDecodingIntensity:935.86;2001MeanDecodingIntensity_488:162.22;2001MeanDecodingIntensity_647:39.73;2001MeanDecodingIntensity_700:35.59;2001MeanDecodingIntensity_750:935.86;2001ReflectiveIntensity:13191.64;2001ReflectiveIntensityStdDev:621.106;2001SealTimeEstimate:14.5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14.28;Empties488F1MeanIntensity:74.13;Empties577F1IntensityStdDev:19.61;Empties577F1MeanIntensity:372.01;Empties577F2IntensityStdDev:33.81;Empties577F2MeanIntensity:370.18;Empties647F1IntensityStdDev:4.74;Empties647F1MeanIntensity:31.55;Empties700F1IntensityStdDev:4.89;Empties700F1MeanIntensity:29.78;Empties750F1IntensityStdDev:5.96;Empties750F1MeanIntensity:34.30;EmptiesIGrowth:437.82;EmptiesReflectiveIntensityStdDev:316.48;EmptiesReflectiveMeanIntensity:11897.97;Errors:;F2minusF1Shift:-0.9;FluorescenceClassification:Normal;Focus_FracImageLost:0.00;FocusScoresAvg:3.75;FocusScoresImageCenter:4.66;FocusScoresMax:5.31;FocusScoresMedian:3.78;FractionImageDebris:0.1080;FractionWellsDebris:0.1203;ImageQualityScoreIfUnpegged:1.00;IndexingWellsMissingFromFov:0;IndexingWellsTotalLostBothVisibleAndMissing:0;IndexingWellsVisibleInFovButRemoved:0;L1DR time (ms):26158;NetBeadFillRate:39.79;NormalizedFillPercentage:056.77;Notes:Xtalk: usable out of spec wv 577 sr 4 dir 5 value 0.038. | Xtalk: usable out of spec wv 577 sr 8 dir 5 value 0.041.;NumberDecSaturated:2;NumberEmpties:47180;NumberFlagged_DeadPixels:73.0000;NumberFlagged_Debris:23135.0000;NumberFlagged_MissingNeighbor:3555.0000;NumberFlagged_NeighborSaturated:15.0000;NumberFlagged_OddlyRecurrentClassification:8948.0000;NumberFlagged_OutOfBounds:4227.0000;NumberFlagged_SaturatedPixelDecodingFour:02.0000;NumberFlagged_SaturatedPixelResorufinTwo:01.0000;NumberInvalidWells:36705;NumberPositiveEmpties:59;NumberPositives:11787;NumberResSaturated:1;NumberSaturatedWithoutDebris:2;NumberValidUnclassified:46548.00;NumberValidWells:155679;OddlyAggregatedFlag:2;OddlyAggregatedLocations:;OddlyAggregatedWorst:0;OffsetW488:( 0, 0 );OffsetW577:( 0, 0 );OffsetW647:( 0, 0 );OffsetW700:( 0, 0 );OffsetW750:( 0, 0 );ResorufinUnsaturated:0;ResorufinUnsaturatedMutated:0;ResorufinUnsaturaterNumberInFit:41;SaturatedDecodingWells:1;SuspiciousWells:18312;SuspiciousWellsFlagged:1;SuspiciousWellsLowerThreshold:7;Warnings:;WhiteLightChannelMedian:10039;XtalkSubregionsOutOfSpec:0</t>
  </si>
  <si>
    <t>0002_DecodingIntensityStdDev_577F1:75.843;0002_DecodingIntensityStdDev_577F2:181.998;0002_MeanDecodingIntensity_577F1:429.38;0002_MeanDecodingIntensity_577F2:473.88;0002AEB:00.2097;0002DecodingIntensityStdDev:387.028;0002DecodingIntensityStdDev_488:387.028;0002DecodingIntensityStdDev_647:5.171;0002DecodingIntensityStdDev_700:5.227;0002DecodingIntensityStdDev_750:6.810;0002F_on:0.1892;0002FillPercent:017.51;0002KineticInconsistentLower:0;0002KineticInconsistentMetadata:-630.040811075364|2.65;0002MeanDecodingIntensity:1593.42;0002MeanDecodingIntensity_488:1593.42;0002MeanDecodingIntensity_647:34.80;0002MeanDecodingIntensity_700:30.64;0002MeanDecodingIntensity_750:35.74;0002ReflectiveIntensity:13282.23;0002ReflectiveIntensityStdDev:644.196;0002SealTimeEstimate:16.5;0021_DecodingIntensityStdDev_577F1:31.838;0021_DecodingIntensityStdDev_577F2:60.243;0021_MeanDecodingIntensity_577F1:399.47;0021_MeanDecodingIntensity_577F2:405.29;0021AEB:00.0152;0021DecodingIntensityStdDev:98.019;0021DecodingIntensityStdDev_488:25.370;0021DecodingIntensityStdDev_647:98.019;0021DecodingIntensityStdDev_700:11.874;0021DecodingIntensityStdDev_750:7.666;0021F_on:0.0150;0021FillPercent:010.91;0021KineticInconsistentLower:0;0021KineticInconsistentMetadata:-631.424316176383|2.65;0021MeanDecodingIntensity:418.41;0021MeanDecodingIntensity_488:143.64;0021MeanDecodingIntensity_647:418.41;0021MeanDecodingIntensity_700:68.38;0021MeanDecodingIntensity_750:36.14;0021ReflectiveIntensity:13030.29;0021ReflectiveIntensityStdDev:528.539;0021SealTimeEstimate:16.5;0201_DecodingIntensityStdDev_577F1:36.049;0201_DecodingIntensityStdDev_577F2:69.484;0201_MeanDecodingIntensity_577F1:402.01;0201_MeanDecodingIntensity_577F2:409.21;0201AEB:00.0215;0201DecodingIntensityStdDev:139.438;0201DecodingIntensityStdDev_488:59.140;0201DecodingIntensityStdDev_647:53.546;0201DecodingIntensityStdDev_700:139.438;0201DecodingIntensityStdDev_750:19.073;0201F_on:0.0213;0201FillPercent:012.90;0201KineticInconsistentLower:0;0201KineticInconsistentMetadata:-648.148570787547|2.69;0201MeanDecodingIntensity:501.95;0201MeanDecodingIntensity_488:152.20;0201MeanDecodingIntensity_647:105.82;0201MeanDecodingIntensity_700:501.95;0201MeanDecodingIntensity_750:65.67;0201ReflectiveIntensity:13141.46;0201ReflectiveIntensityStdDev:611.603;0201SealTimeEstimate:16.1;2001_DecodingIntensityStdDev_577F1:41.809;2001_DecodingIntensityStdDev_577F2:77.398;2001_MeanDecodingIntensity_577F1:431.45;2001_MeanDecodingIntensity_577F2:439.12;2001AEB:00.0235;2001DecodingIntensityStdDev:248.152;2001DecodingIntensityStdDev_488:96.899;2001DecodingIntensityStdDev_647:14.628;2001DecodingIntensityStdDev_700:8.351;2001DecodingIntensityStdDev_750:248.152;2001F_on:0.0232;2001FillPercent:012.18;2001KineticInconsistentLower:0;2001KineticInconsistentMetadata:-668.99053364314|2.63;2001MeanDecodingIntensity:927.78;2001MeanDecodingIntensity_488:158.25;2001MeanDecodingIntensity_647:39.00;2001MeanDecodingIntensity_700:34.90;2001MeanDecodingIntensity_750:927.78;2001ReflectiveIntensity:13122.13;2001ReflectiveIntensityStdDev:610.425;2001SealTimeEstimate:16.7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13.07;Empties488F1MeanIntensity:73.14;Empties577F1IntensityStdDev:22.73;Empties577F1MeanIntensity:371.02;Empties577F2IntensityStdDev:37.34;Empties577F2MeanIntensity:369.68;Empties647F1IntensityStdDev:4.54;Empties647F1MeanIntensity:31.45;Empties700F1IntensityStdDev:4.56;Empties700F1MeanIntensity:29.59;Empties750F1IntensityStdDev:5.61;Empties750F1MeanIntensity:34.06;EmptiesIGrowth:428.76;EmptiesReflectiveIntensityStdDev:324.96;EmptiesReflectiveMeanIntensity:11902.99;Errors:;F2minusF1Shift:-0.4;FluorescenceClassification:Normal;Focus_FracImageLost:0.00;FocusScoresAvg:3.60;FocusScoresImageCenter:4.37;FocusScoresMax:5.58;FocusScoresMedian:3.61;FractionImageDebris:0.1077;FractionWellsDebris:0.1188;ImageQualityScoreIfUnpegged:1.00;IndexingWellsMissingFromFov:0;IndexingWellsTotalLostBothVisibleAndMissing:0;IndexingWellsVisibleInFovButRemoved:0;L1DR time (ms):27077;NetBeadFillRate:37.51;NormalizedFillPercentage:053.50;Notes:Xtalk: usable out of spec wv 577 sr 4 dir 5 value 0.041. | Xtalk: usable out of spec wv 577 sr 8 dir 5 value 0.041.;NumberDecSaturated:1;NumberEmpties:52148;NumberFlagged_DeadPixels:81.0000;NumberFlagged_Debris:22859.0000;NumberFlagged_MissingNeighbor:3256.0000;NumberFlagged_NeighborSaturated:06.0000;NumberFlagged_OddlyRecurrentClassification:5176.0000;NumberFlagged_OutOfBounds:4159.0000;NumberFlagged_SaturatedPixelDecodingFour:01.0000;NumberInvalidWells:32499;NumberPositiveEmpties:81;NumberPositives:10953;NumberResSaturated:0;NumberSaturatedWithoutDebris:1;NumberValidUnclassified:47800.00;NumberValidWells:159951;OddlyAggregatedFlag:2;OddlyAggregatedLocations:;OddlyAggregatedWorst:0;OffsetW488:( 0, -1 );OffsetW577:( 0, 0 );OffsetW647:( 0, 0 );OffsetW700:( 0, 0 );OffsetW750:( 0, -1 );ResorufinUnsaturated:0;ResorufinUnsaturatedMutated:0;ResorufinUnsaturaterNumberInFit:65;SaturatedDecodingWells:1;SuspiciousWells:22608;SuspiciousWellsFlagged:1;SuspiciousWellsLowerThreshold:6;Warnings:;WhiteLightChannelMedian:10052;XtalkSubregionsOutOfSpec:0</t>
  </si>
  <si>
    <t>0002_DecodingIntensityStdDev_577F1:83.564;0002_DecodingIntensityStdDev_577F2:182.816;0002_MeanDecodingIntensity_577F1:430.10;0002_MeanDecodingIntensity_577F2:473.71;0002AEB:00.2114;0002DecodingIntensityStdDev:366.634;0002DecodingIntensityStdDev_488:366.634;0002DecodingIntensityStdDev_647:4.901;0002DecodingIntensityStdDev_700:4.832;0002DecodingIntensityStdDev_750:6.162;0002F_on:0.1906;0002FillPercent:015.49;0002KineticInconsistentLower:0;0002KineticInconsistentMetadata:-525.802937447197|2.39;0002MeanDecodingIntensity:1674.81;0002MeanDecodingIntensity_488:1674.81;0002MeanDecodingIntensity_647:34.93;0002MeanDecodingIntensity_700:30.52;0002MeanDecodingIntensity_750:35.28;0002ReflectiveIntensity:13366.29;0002ReflectiveIntensityStdDev:658.297;0002SealTimeEstimate:19.7;0021_DecodingIntensityStdDev_577F1:35.042;0021_DecodingIntensityStdDev_577F2:65.424;0021_MeanDecodingIntensity_577F1:397.03;0021_MeanDecodingIntensity_577F2:403.99;0021AEB:00.0184;0021DecodingIntensityStdDev:87.289;0021DecodingIntensityStdDev_488:22.052;0021DecodingIntensityStdDev_647:87.289;0021DecodingIntensityStdDev_700:9.929;0021DecodingIntensityStdDev_750:6.481;0021F_on:0.0182;0021FillPercent:009.37;0021KineticInconsistentLower:0;0021KineticInconsistentMetadata:-530.940105954697|2.43;0021MeanDecodingIntensity:438.88;0021MeanDecodingIntensity_488:144.03;0021MeanDecodingIntensity_647:438.88;0021MeanDecodingIntensity_700:70.70;0021MeanDecodingIntensity_750:35.47;0021ReflectiveIntensity:13100.04;0021ReflectiveIntensityStdDev:554.693;0021SealTimeEstimate:19.1;0201_DecodingIntensityStdDev_577F1:39.261;0201_DecodingIntensityStdDev_577F2:75.745;0201_MeanDecodingIntensity_577F1:397.83;0201_MeanDecodingIntensity_577F2:406.06;0201AEB:00.0220;0201DecodingIntensityStdDev:122.245;0201DecodingIntensityStdDev_488:25.171;0201DecodingIntensityStdDev_647:20.614;0201DecodingIntensityStdDev_700:122.245;0201DecodingIntensityStdDev_750:11.133;0201F_on:0.0218;0201FillPercent:010.95;0201KineticInconsistentLower:0;0201KineticInconsistentMetadata:-545.403502691388|2.46;0201MeanDecodingIntensity:527.10;0201MeanDecodingIntensity_488:146.24;0201MeanDecodingIntensity_647:99.74;0201MeanDecodingIntensity_700:527.10;0201MeanDecodingIntensity_750:65.59;0201ReflectiveIntensity:13162.74;0201ReflectiveIntensityStdDev:587.394;0201SealTimeEstimate:18.7;2001_DecodingIntensityStdDev_577F1:41.717;2001_DecodingIntensityStdDev_577F2:79.275;2001_MeanDecodingIntensity_577F1:429.30;2001_MeanDecodingIntensity_577F2:437.76;2001AEB:00.0232;2001DecodingIntensityStdDev:232.596;2001DecodingIntensityStdDev_488:24.879;2001DecodingIntensityStdDev_647:5.390;2001DecodingIntensityStdDev_700:5.583;2001DecodingIntensityStdDev_750:232.596;2001F_on:0.0229;2001FillPercent:010.32;2001KineticInconsistentLower:0;2001KineticInconsistentMetadata:-616.934820582642|2.49;2001MeanDecodingIntensity:980.97;2001MeanDecodingIntensity_488:146.20;2001MeanDecodingIntensity_647:38.17;2001MeanDecodingIntensity_700:34.66;2001MeanDecodingIntensity_750:980.97;2001ReflectiveIntensity:13160.54;2001ReflectiveIntensityStdDev:594.430;2001SealTimeEstimate:18.3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12.10;Empties488F1MeanIntensity:70.08;Empties577F1IntensityStdDev:30.83;Empties577F1MeanIntensity:357.44;Empties577F2IntensityStdDev:38.87;Empties577F2MeanIntensity:357.17;Empties647F1IntensityStdDev:4.39;Empties647F1MeanIntensity:31.69;Empties700F1IntensityStdDev:4.35;Empties700F1MeanIntensity:29.63;Empties750F1IntensityStdDev:5.37;Empties750F1MeanIntensity:33.99;EmptiesIGrowth:606.47;EmptiesReflectiveIntensityStdDev:377.71;EmptiesReflectiveMeanIntensity:11895.94;Errors:;F2minusF1Shift:-2.3;FluorescenceClassification:Normal;Focus_FracImageLost:0.00;FocusScoresAvg:3.47;FocusScoresImageCenter:4.25;FocusScoresMax:4.98;FocusScoresMedian:3.52;FractionImageDebris:0.0494;FractionWellsDebris:0.0573;ImageQualityScoreIfUnpegged:1.00;IndexingWellsMissingFromFov:0;IndexingWellsTotalLostBothVisibleAndMissing:0;IndexingWellsVisibleInFovButRemoved:0;L1DR time (ms):26989;NetBeadFillRate:32.38;NormalizedFillPercentage:046.13;Notes:Xtalk: usable out of spec wv 577 sr 8 dir 5 value 0.041.;NumberDecSaturated:0;NumberEmpties:66663;NumberFlagged_DeadPixels:77.0000;NumberFlagged_Debris:11025.0000;NumberFlagged_MissingNeighbor:3138.0000;NumberFlagged_OutOfBounds:4230.0000;NumberInvalidWells:16190;NumberPositiveEmpties:28;NumberPositives:8382;NumberResSaturated:0;NumberSaturatedWithoutDebris:0;NumberValidUnclassified:52585.00;NumberValidWells:176343;OddlyAggregatedFlag:2;OddlyAggregatedLocations:;OddlyAggregatedWorst:0;OffsetW488:( 0, 0 );OffsetW577:( 0, 0 );OffsetW647:( 0, 0 );OffsetW700:( 0, 0 );OffsetW750:( 0, 0 );ResorufinUnsaturated:0;ResorufinUnsaturatedMutated:0;ResorufinUnsaturaterNumberInFit:90;SaturatedDecodingWells:0;SuspiciousWells:23228;SuspiciousWellsFlagged:1;SuspiciousWellsLowerThreshold:5;Warnings:;WhiteLightChannelMedian:10030;XtalkSubregionsOutOfSpec:0</t>
  </si>
  <si>
    <t>spikein-high-1-4-2</t>
  </si>
  <si>
    <t>Plate 2 - Well B9</t>
  </si>
  <si>
    <t>0002_DecodingIntensityStdDev_577F1:64.923;0002_DecodingIntensityStdDev_577F2:168.422;0002_MeanDecodingIntensity_577F1:429.36;0002_MeanDecodingIntensity_577F2:474.28;0002AEB:00.2206;0002DecodingIntensityStdDev:371.057;0002DecodingIntensityStdDev_488:371.057;0002DecodingIntensityStdDev_647:5.275;0002DecodingIntensityStdDev_700:5.384;0002DecodingIntensityStdDev_750:6.916;0002F_on:0.1980;0002FillPercent:017.96;0002KineticInconsistentLower:0;0002KineticInconsistentMetadata:-728.65189721833|2.88;0002MeanDecodingIntensity:1526.40;0002MeanDecodingIntensity_488:1526.40;0002MeanDecodingIntensity_647:34.71;0002MeanDecodingIntensity_700:30.54;0002MeanDecodingIntensity_750:35.82;0002ReflectiveIntensity:13186.27;0002ReflectiveIntensityStdDev:637.586;0002SealTimeEstimate:14.4;0021_DecodingIntensityStdDev_577F1:32.378;0021_DecodingIntensityStdDev_577F2:74.122;0021_MeanDecodingIntensity_577F1:403.19;0021_MeanDecodingIntensity_577F2:410.24;0021AEB:00.0207;0021DecodingIntensityStdDev:95.835;0021DecodingIntensityStdDev_488:36.494;0021DecodingIntensityStdDev_647:95.835;0021DecodingIntensityStdDev_700:13.500;0021DecodingIntensityStdDev_750:7.857;0021F_on:0.0205;0021FillPercent:011.26;0021KineticInconsistentLower:0;0021KineticInconsistentMetadata:-762.402887391519|2.96;0021MeanDecodingIntensity:414.79;0021MeanDecodingIntensity_488:140.54;0021MeanDecodingIntensity_647:414.79;0021MeanDecodingIntensity_700:68.18;0021MeanDecodingIntensity_750:36.11;0021ReflectiveIntensity:12970.22;0021ReflectiveIntensityStdDev:537.910;0021SealTimeEstimate:13.8;0201_DecodingIntensityStdDev_577F1:32.351;0201_DecodingIntensityStdDev_577F2:69.352;0201_MeanDecodingIntensity_577F1:404.50;0201_MeanDecodingIntensity_577F2:412.16;0201AEB:00.0241;0201DecodingIntensityStdDev:141.574;0201DecodingIntensityStdDev_488:63.172;0201DecodingIntensityStdDev_647:50.033;0201DecodingIntensityStdDev_700:141.574;0201DecodingIntensityStdDev_750:17.535;0201F_on:0.0238;0201FillPercent:013.33;0201KineticInconsistentLower:0;0201KineticInconsistentMetadata:-739.912954221939|2.93;0201MeanDecodingIntensity:492.02;0201MeanDecodingIntensity_488:149.04;0201MeanDecodingIntensity_647:106.45;0201MeanDecodingIntensity_700:492.02;0201MeanDecodingIntensity_750:65.92;0201ReflectiveIntensity:13083.62;0201ReflectiveIntensityStdDev:628.708;0201SealTimeEstimate:14.0;2001_DecodingIntensityStdDev_577F1:41.846;2001_DecodingIntensityStdDev_577F2:91.991;2001_MeanDecodingIntensity_577F1:434.58;2001_MeanDecodingIntensity_577F2:443.94;2001AEB:00.0308;2001DecodingIntensityStdDev:268.810;2001DecodingIntensityStdDev_488:97.155;2001DecodingIntensityStdDev_647:14.162;2001DecodingIntensityStdDev_700:9.172;2001DecodingIntensityStdDev_750:268.810;2001F_on:0.0303;2001FillPercent:012.49;2001KineticInconsistentLower:0;2001KineticInconsistentMetadata:-790.642431540945|2.9;2001MeanDecodingIntensity:934.94;2001MeanDecodingIntensity_488:155.60;2001MeanDecodingIntensity_647:38.92;2001MeanDecodingIntensity_700:35.24;2001MeanDecodingIntensity_750:934.94;2001ReflectiveIntensity:13062.52;2001ReflectiveIntensityStdDev:619.409;2001SealTimeEstimate:14.2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13.37;Empties488F1MeanIntensity:68.44;Empties577F1IntensityStdDev:18.32;Empties577F1MeanIntensity:374.93;Empties577F2IntensityStdDev:35.71;Empties577F2MeanIntensity:373.26;Empties647F1IntensityStdDev:4.68;Empties647F1MeanIntensity:31.23;Empties700F1IntensityStdDev:4.77;Empties700F1MeanIntensity:29.41;Empties750F1IntensityStdDev:5.76;Empties750F1MeanIntensity:33.83;EmptiesIGrowth:382.85;EmptiesReflectiveIntensityStdDev:316.31;EmptiesReflectiveMeanIntensity:11810.64;Errors:;F2minusF1Shift:-1.1;FluorescenceClassification:Normal;Focus_FracImageLost:0.00;FocusScoresAvg:3.77;FocusScoresImageCenter:5.29;FocusScoresMax:5.33;FocusScoresMedian:3.77;FractionImageDebris:0.0948;FractionWellsDebris:0.1051;ImageQualityScoreIfUnpegged:1.00;IndexingWellsMissingFromFov:0;IndexingWellsTotalLostBothVisibleAndMissing:0;IndexingWellsVisibleInFovButRemoved:0;L1DR time (ms):25664;NetBeadFillRate:38.59;NormalizedFillPercentage:055.04;Notes:Xtalk: usable out of spec wv 577 sr 4 dir 5 value 0.036. | Xtalk: usable out of spec wv 577 sr 8 dir 5 value 0.048.;NumberDecSaturated:0;NumberEmpties:50567;NumberFlagged_DeadPixels:77.0000;NumberFlagged_Debris:20188.0000;NumberFlagged_MissingNeighbor:3756.0000;NumberFlagged_OddlyRecurrentClassification:7088.0000;NumberFlagged_OutOfBounds:4082.0000;NumberInvalidWells:31623;NumberPositiveEmpties:99;NumberPositives:12319;NumberResSaturated:0;NumberSaturatedWithoutDebris:0;NumberValidUnclassified:47927.00;NumberValidWells:160395;OddlyAggregatedFlag:2;OddlyAggregatedLocations:;OddlyAggregatedWorst:0;OffsetW488:( 0, 0 );OffsetW577:( 0, 0 );OffsetW647:( 0, 0 );OffsetW700:( 0, 0 );OffsetW750:( 0, -1 );ResorufinUnsaturated:0;ResorufinUnsaturatedMutated:0;ResorufinUnsaturaterNumberInFit:35;SaturatedDecodingWells:0;SuspiciousWells:22079;SuspiciousWellsFlagged:1;SuspiciousWellsLowerThreshold:6;Warnings:;WhiteLightChannelMedian:9885;XtalkSubregionsOutOfSpec:0</t>
  </si>
  <si>
    <t>0002_DecodingIntensityStdDev_577F1:86.934;0002_DecodingIntensityStdDev_577F2:196.359;0002_MeanDecodingIntensity_577F1:433.68;0002_MeanDecodingIntensity_577F2:482.84;0002AEB:00.2250;0002DecodingIntensityStdDev:361.862;0002DecodingIntensityStdDev_488:361.862;0002DecodingIntensityStdDev_647:5.254;0002DecodingIntensityStdDev_700:5.267;0002DecodingIntensityStdDev_750:6.845;0002F_on:0.2015;0002FillPercent:016.13;0002KineticInconsistentLower:0;0002KineticInconsistentMetadata:-567.381894904727|2.48;0002MeanDecodingIntensity:1591.59;0002MeanDecodingIntensity_488:1591.59;0002MeanDecodingIntensity_647:35.05;0002MeanDecodingIntensity_700:30.67;0002MeanDecodingIntensity_750:36.05;0002ReflectiveIntensity:13411.11;0002ReflectiveIntensityStdDev:613.811;0002SealTimeEstimate:18.4;0021_DecodingIntensityStdDev_577F1:41.697;0021_DecodingIntensityStdDev_577F2:86.409;0021_MeanDecodingIntensity_577F1:399.28;0021_MeanDecodingIntensity_577F2:407.93;0021AEB:00.0210;0021DecodingIntensityStdDev:85.643;0021DecodingIntensityStdDev_488:24.346;0021DecodingIntensityStdDev_647:85.643;0021DecodingIntensityStdDev_700:10.305;0021DecodingIntensityStdDev_750:7.245;0021F_on:0.0208;0021FillPercent:009.95;0021KineticInconsistentLower:0;0021KineticInconsistentMetadata:-581.070258381001|2.52;0021MeanDecodingIntensity:420.80;0021MeanDecodingIntensity_488:142.51;0021MeanDecodingIntensity_647:420.80;0021MeanDecodingIntensity_700:68.37;0021MeanDecodingIntensity_750:36.20;0021ReflectiveIntensity:13170.38;0021ReflectiveIntensityStdDev:513.908;0021SealTimeEstimate:17.9;0201_DecodingIntensityStdDev_577F1:41.381;0201_DecodingIntensityStdDev_577F2:83.691;0201_MeanDecodingIntensity_577F1:399.76;0201_MeanDecodingIntensity_577F2:409.18;0201AEB:00.0257;0201DecodingIntensityStdDev:123.674;0201DecodingIntensityStdDev_488:33.396;0201DecodingIntensityStdDev_647:30.582;0201DecodingIntensityStdDev_700:123.674;0201DecodingIntensityStdDev_750:12.844;0201F_on:0.0254;0201FillPercent:011.51;0201KineticInconsistentLower:0;0201KineticInconsistentMetadata:-599.248201465731|2.54;0201MeanDecodingIntensity:495.48;0201MeanDecodingIntensity_488:146.89;0201MeanDecodingIntensity_647:101.90;0201MeanDecodingIntensity_700:495.48;0201MeanDecodingIntensity_750:66.43;0201ReflectiveIntensity:13239.16;0201ReflectiveIntensityStdDev:558.081;0201SealTimeEstimate:17.7;2001_DecodingIntensityStdDev_577F1:47.773;2001_DecodingIntensityStdDev_577F2:95.209;2001_MeanDecodingIntensity_577F1:430.14;2001_MeanDecodingIntensity_577F2:441.04;2001AEB:00.0286;2001DecodingIntensityStdDev:247.033;2001DecodingIntensityStdDev_488:44.207;2001DecodingIntensityStdDev_647:8.017;2001DecodingIntensityStdDev_700:7.167;2001DecodingIntensityStdDev_750:247.033;2001F_on:0.0282;2001FillPercent:011.15;2001KineticInconsistentLower:0;2001KineticInconsistentMetadata:-599.556640455766|2.48;2001MeanDecodingIntensity:948.97;2001MeanDecodingIntensity_488:147.37;2001MeanDecodingIntensity_647:38.41;2001MeanDecodingIntensity_700:35.06;2001MeanDecodingIntensity_750:948.97;2001ReflectiveIntensity:13228.40;2001ReflectiveIntensityStdDev:567.847;2001SealTimeEstimate:18.4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13.75;Empties488F1MeanIntensity:71.34;Empties577F1IntensityStdDev:24.23;Empties577F1MeanIntensity:365.15;Empties577F2IntensityStdDev:35.19;Empties577F2MeanIntensity:364.56;Empties647F1IntensityStdDev:4.67;Empties647F1MeanIntensity:31.64;Empties700F1IntensityStdDev:4.74;Empties700F1MeanIntensity:29.60;Empties750F1IntensityStdDev:5.85;Empties750F1MeanIntensity:34.44;EmptiesIGrowth:506.63;EmptiesReflectiveIntensityStdDev:327.58;EmptiesReflectiveMeanIntensity:11965.26;Errors:;F2minusF1Shift:-2.5;FluorescenceClassification:Normal;Focus_FracImageLost:0.00;FocusScoresAvg:3.68;FocusScoresImageCenter:5.17;FocusScoresMax:5.51;FocusScoresMedian:3.66;FractionImageDebris:0.0484;FractionWellsDebris:0.0575;ImageQualityScoreIfUnpegged:1.00;IndexingWellsMissingFromFov:0;IndexingWellsTotalLostBothVisibleAndMissing:0;IndexingWellsVisibleInFovButRemoved:0;L1DR time (ms):26743;NetBeadFillRate:34.19;NormalizedFillPercentage:048.74;Notes:Xtalk: usable out of spec wv 577 sr 4 dir 5 value 0.038. | Xtalk: usable out of spec wv 577 sr 8 dir 5 value 0.036.;NumberDecSaturated:1;NumberEmpties:63494;NumberFlagged_DeadPixels:77.0000;NumberFlagged_Debris:11065.0000;NumberFlagged_MissingNeighbor:2506.0000;NumberFlagged_NeighborSaturated:12.0000;NumberFlagged_OutOfBounds:4199.0000;NumberFlagged_SaturatedPixelDecodingFour:01.0000;NumberFlagged_SaturatedPixelResorufinTwo:01.0000;NumberInvalidWells:15780;NumberPositiveEmpties:44;NumberPositives:9717;NumberResSaturated:1;NumberSaturatedWithoutDebris:1;NumberValidUnclassified:52728.00;NumberValidWells:176606;OddlyAggregatedFlag:2;OddlyAggregatedLocations:;OddlyAggregatedWorst:0;OffsetW488:( 1, 0 );OffsetW577:( 0, 0 );OffsetW647:( 0, 0 );OffsetW700:( 0, 0 );OffsetW750:( 1, -1 );ResorufinUnsaturated:0;ResorufinUnsaturatedMutated:0;ResorufinUnsaturaterNumberInFit:104;SaturatedDecodingWells:1;SuspiciousWells:25727;SuspiciousWellsFlagged:1;SuspiciousWellsLowerThreshold:5;Warnings:;WhiteLightChannelMedian:9988;XtalkSubregionsOutOfSpec:0</t>
  </si>
  <si>
    <t>0002_DecodingIntensityStdDev_577F1:79.926;0002_DecodingIntensityStdDev_577F2:174.316;0002_MeanDecodingIntensity_577F1:428.28;0002_MeanDecodingIntensity_577F2:469.85;0002AEB:00.2075;0002DecodingIntensityStdDev:375.993;0002DecodingIntensityStdDev_488:375.993;0002DecodingIntensityStdDev_647:5.187;0002DecodingIntensityStdDev_700:5.254;0002DecodingIntensityStdDev_750:6.921;0002F_on:0.1874;0002FillPercent:017.08;0002KineticInconsistentLower:0;0002KineticInconsistentMetadata:-533.383686987039|2.4;0002MeanDecodingIntensity:1614.54;0002MeanDecodingIntensity_488:1614.54;0002MeanDecodingIntensity_647:35.02;0002MeanDecodingIntensity_700:30.59;0002MeanDecodingIntensity_750:36.08;0002ReflectiveIntensity:13390.91;0002ReflectiveIntensityStdDev:633.968;0002SealTimeEstimate:19.5;0021_DecodingIntensityStdDev_577F1:37.217;0021_DecodingIntensityStdDev_577F2:73.473;0021_MeanDecodingIntensity_577F1:396.55;0021_MeanDecodingIntensity_577F2:404.42;0021AEB:00.0206;0021DecodingIntensityStdDev:95.353;0021DecodingIntensityStdDev_488:25.742;0021DecodingIntensityStdDev_647:95.353;0021DecodingIntensityStdDev_700:11.098;0021DecodingIntensityStdDev_750:7.234;0021F_on:0.0203;0021FillPercent:010.35;0021KineticInconsistentLower:0;0021KineticInconsistentMetadata:-535.447427529969|2.43;0021MeanDecodingIntensity:442.23;0021MeanDecodingIntensity_488:143.40;0021MeanDecodingIntensity_647:442.23;0021MeanDecodingIntensity_700:70.51;0021MeanDecodingIntensity_750:35.99;0021ReflectiveIntensity:13148.89;0021ReflectiveIntensityStdDev:532.680;0021SealTimeEstimate:19.1;0201_DecodingIntensityStdDev_577F1:39.819;0201_DecodingIntensityStdDev_577F2:77.802;0201_MeanDecodingIntensity_577F1:397.61;0201_MeanDecodingIntensity_577F2:406.26;0201AEB:00.0235;0201DecodingIntensityStdDev:133.187;0201DecodingIntensityStdDev_488:47.678;0201DecodingIntensityStdDev_647:35.878;0201DecodingIntensityStdDev_700:133.187;0201DecodingIntensityStdDev_750:13.955;0201F_on:0.0232;0201FillPercent:012.14;0201KineticInconsistentLower:0;0201KineticInconsistentMetadata:-535.866008445515|2.42;0201MeanDecodingIntensity:519.20;0201MeanDecodingIntensity_488:149.04;0201MeanDecodingIntensity_647:105.16;0201MeanDecodingIntensity_700:519.20;0201MeanDecodingIntensity_750:67.68;0201ReflectiveIntensity:13231.76;0201ReflectiveIntensityStdDev:594.857;0201SealTimeEstimate:19.2;2001_DecodingIntensityStdDev_577F1:44.698;2001_DecodingIntensityStdDev_577F2:86.077;2001_MeanDecodingIntensity_577F1:429.73;2001_MeanDecodingIntensity_577F2:439.10;2001AEB:00.0246;2001DecodingIntensityStdDev:262.807;2001DecodingIntensityStdDev_488:48.877;2001DecodingIntensityStdDev_647:7.717;2001DecodingIntensityStdDev_700:6.843;2001DecodingIntensityStdDev_750:262.807;2001F_on:0.0243;2001FillPercent:011.36;2001KineticInconsistentLower:0;2001KineticInconsistentMetadata:-593.146802085236|2.45;2001MeanDecodingIntensity:1031.19;2001MeanDecodingIntensity_488:148.20;2001MeanDecodingIntensity_647:38.55;2001MeanDecodingIntensity_700:35.18;2001MeanDecodingIntensity_750:1031.19;2001ReflectiveIntensity:13205.96;2001ReflectiveIntensityStdDev:581.829;2001SealTimeEstimate:18.8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13.47;Empties488F1MeanIntensity:67.21;Empties577F1IntensityStdDev:20.72;Empties577F1MeanIntensity:364.14;Empties577F2IntensityStdDev:29.08;Empties577F2MeanIntensity:363.21;Empties647F1IntensityStdDev:4.58;Empties647F1MeanIntensity:31.25;Empties700F1IntensityStdDev:4.64;Empties700F1MeanIntensity:29.39;Empties750F1IntensityStdDev:5.71;Empties750F1MeanIntensity:34.10;EmptiesIGrowth:467.85;EmptiesReflectiveIntensityStdDev:330.57;EmptiesReflectiveMeanIntensity:11894.21;Errors:;F2minusF1Shift:-2.1;FluorescenceClassification:Normal;Focus_FracImageLost:0.00;FocusScoresAvg:3.63;FocusScoresImageCenter:4.77;FocusScoresMax:5.36;FocusScoresMedian:3.67;FractionImageDebris:0.0785;FractionWellsDebris:0.0873;ImageQualityScoreIfUnpegged:1.00;IndexingWellsMissingFromFov:0;IndexingWellsTotalLostBothVisibleAndMissing:0;IndexingWellsVisibleInFovButRemoved:0;L1DR time (ms):26680;NetBeadFillRate:35.72;NormalizedFillPercentage:050.94;Notes:Xtalk: usable out of spec wv 577 sr 8 dir 5 value 0.038.;NumberDecSaturated:0;NumberEmpties:58721;NumberFlagged_DeadPixels:80.0000;NumberFlagged_Debris:16780.0000;NumberFlagged_MissingNeighbor:3125.0000;NumberFlagged_OddlyRecurrentClassification:2271.0000;NumberFlagged_OutOfBounds:4143.0000;NumberInvalidWells:21579;NumberPositiveEmpties:28;NumberPositives:10027;NumberResSaturated:0;NumberSaturatedWithoutDebris:0;NumberValidUnclassified:50977.00;NumberValidWells:170661;OddlyAggregatedFlag:2;OddlyAggregatedLocations:;OddlyAggregatedWorst:0;OffsetW488:( 1, 0 );OffsetW577:( 0, 0 );OffsetW647:( 0, 0 );OffsetW700:( 0, -1 );OffsetW750:( 1, -1 );ResorufinUnsaturated:0;ResorufinUnsaturatedMutated:0;ResorufinUnsaturaterNumberInFit:101;SaturatedDecodingWells:1;SuspiciousWells:22612;SuspiciousWellsFlagged:1;SuspiciousWellsLowerThreshold:6;Warnings:;WhiteLightChannelMedian:10002;XtalkSubregionsOutOfSpec:0</t>
  </si>
  <si>
    <t>spikein-high-1-4-3</t>
  </si>
  <si>
    <t>Plate 2 - Well C9</t>
  </si>
  <si>
    <t>0002_DecodingIntensityStdDev_577F1:83.273;0002_DecodingIntensityStdDev_577F2:181.699;0002_MeanDecodingIntensity_577F1:426.26;0002_MeanDecodingIntensity_577F2:468.92;0002AEB:00.2244;0002DecodingIntensityStdDev:343.773;0002DecodingIntensityStdDev_488:343.773;0002DecodingIntensityStdDev_647:5.195;0002DecodingIntensityStdDev_700:5.204;0002DecodingIntensityStdDev_750:6.536;0002F_on:0.2010;0002FillPercent:015.61;0002KineticInconsistentLower:0;0002KineticInconsistentMetadata:-527.128217261297|2.4;0002MeanDecodingIntensity:1566.13;0002MeanDecodingIntensity_488:1566.13;0002MeanDecodingIntensity_647:34.94;0002MeanDecodingIntensity_700:30.57;0002MeanDecodingIntensity_750:35.70;0002ReflectiveIntensity:13328.25;0002ReflectiveIntensityStdDev:658.048;0002SealTimeEstimate:19.5;0021_DecodingIntensityStdDev_577F1:29.613;0021_DecodingIntensityStdDev_577F2:51.079;0021_MeanDecodingIntensity_577F1:391.42;0021_MeanDecodingIntensity_577F2:395.75;0021AEB:00.0133;0021DecodingIntensityStdDev:89.516;0021DecodingIntensityStdDev_488:25.115;0021DecodingIntensityStdDev_647:89.516;0021DecodingIntensityStdDev_700:10.621;0021DecodingIntensityStdDev_750:6.985;0021F_on:0.0132;0021FillPercent:009.64;0021KineticInconsistentLower:0;0021KineticInconsistentMetadata:-500.503942051005|2.35;0021MeanDecodingIntensity:428.84;0021MeanDecodingIntensity_488:140.61;0021MeanDecodingIntensity_647:428.84;0021MeanDecodingIntensity_700:69.19;0021MeanDecodingIntensity_750:35.79;0021ReflectiveIntensity:13092.69;0021ReflectiveIntensityStdDev:568.800;0021SealTimeEstimate:20.3;0201_DecodingIntensityStdDev_577F1:38.284;0201_DecodingIntensityStdDev_577F2:73.417;0201_MeanDecodingIntensity_577F1:391.61;0201_MeanDecodingIntensity_577F2:396.89;0201AEB:00.0161;0201DecodingIntensityStdDev:118.815;0201DecodingIntensityStdDev_488:31.221;0201DecodingIntensityStdDev_647:25.720;0201DecodingIntensityStdDev_700:118.815;0201DecodingIntensityStdDev_750:12.416;0201F_on:0.0160;0201FillPercent:011.36;0201KineticInconsistentLower:0;0201KineticInconsistentMetadata:-498.251164336875|2.36;0201MeanDecodingIntensity:498.79;0201MeanDecodingIntensity_488:143.86;0201MeanDecodingIntensity_647:101.46;0201MeanDecodingIntensity_700:498.79;0201MeanDecodingIntensity_750:66.51;0201ReflectiveIntensity:13146.41;0201ReflectiveIntensityStdDev:598.517;0201SealTimeEstimate:20.1;2001_DecodingIntensityStdDev_577F1:35.331;2001_DecodingIntensityStdDev_577F2:60.367;2001_MeanDecodingIntensity_577F1:423.02;2001_MeanDecodingIntensity_577F2:428.04;2001AEB:00.0162;2001DecodingIntensityStdDev:250.405;2001DecodingIntensityStdDev_488:34.441;2001DecodingIntensityStdDev_647:6.385;2001DecodingIntensityStdDev_700:6.351;2001DecodingIntensityStdDev_750:250.405;2001F_on:0.0161;2001FillPercent:010.93;2001KineticInconsistentLower:0;2001KineticInconsistentMetadata:-550.803970622719|2.38;2001MeanDecodingIntensity:986.75;2001MeanDecodingIntensity_488:144.00;2001MeanDecodingIntensity_647:38.32;2001MeanDecodingIntensity_700:34.95;2001MeanDecodingIntensity_750:986.75;2001ReflectiveIntensity:13152.62;2001ReflectiveIntensityStdDev:598.952;2001SealTimeEstimate:19.8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13.56;Empties488F1MeanIntensity:67.52;Empties577F1IntensityStdDev:22.08;Empties577F1MeanIntensity:362.25;Empties577F2IntensityStdDev:30.41;Empties577F2MeanIntensity:360.26;Empties647F1IntensityStdDev:4.69;Empties647F1MeanIntensity:31.48;Empties700F1IntensityStdDev:4.84;Empties700F1MeanIntensity:29.61;Empties750F1IntensityStdDev:5.93;Empties750F1MeanIntensity:34.28;EmptiesIGrowth:461.59;EmptiesReflectiveIntensityStdDev:369.06;EmptiesReflectiveMeanIntensity:11857.26;Errors:;F2minusF1Shift:-0.1;FluorescenceClassification:Normal;Focus_FracImageLost:0.00;FocusScoresAvg:3.59;FocusScoresImageCenter:4.84;FocusScoresMax:5.27;FocusScoresMedian:3.70;FractionImageDebris:0.0954;FractionWellsDebris:0.0915;ImageQualityScoreIfUnpegged:1.00;IndexingWellsMissingFromFov:843;IndexingWellsTotalLostBothVisibleAndMissing:3728;IndexingWellsVisibleInFovButRemoved:2885;L1DR time (ms):27615;NetBeadFillRate:33.35;NormalizedFillPercentage:047.55;Notes:Indexing: stripe across bottom | Xtalk: usable out of spec wv 577 sr 4 dir 0 value 0.036. | Xtalk: usable out of spec wv 577 sr 8 dir 5 value 0.043. | Xtalk: usable out of spec wv 577 sr 9 dir 5 value 0.038. | Xtalk: usable out of spec wv 700 sr 4 dir 5 value 0.036. | Xtalk: usable out of spec wv 488 sr 4 dir 5 value 0.036.;NumberDecSaturated:0;NumberEmpties:61749;NumberFlagged_DeadPixels:75.0000;NumberFlagged_Debris:17256.0000;NumberFlagged_MissingNeighbor:2859.0000;NumberFlagged_OutOfBounds:3253.0000;NumberInvalidWells:20823;NumberPositiveEmpties:35;NumberPositives:9134;NumberResSaturated:0;NumberSaturatedWithoutDebris:0;NumberValidUnclassified:50124.00;NumberValidWells:167843;OddlyAggregatedFlag:2;OddlyAggregatedLocations:;OddlyAggregatedWorst:0;OffsetW488:( 0, 0 );OffsetW577:( 0, 0 );OffsetW647:( 0, 0 );OffsetW700:( 0, 0 );OffsetW750:( 0, -1 );ResorufinUnsaturated:0;ResorufinUnsaturatedMutated:0;ResorufinUnsaturaterNumberInFit:71;SaturatedDecodingWells:1;SuspiciousWells:23737;SuspiciousWellsFlagged:1;SuspiciousWellsLowerThreshold:6;Warnings:;WhiteLightChannelMedian:9901;XtalkSubregionsOutOfSpec:0</t>
  </si>
  <si>
    <t>0002_DecodingIntensityStdDev_577F1:70.121;0002_DecodingIntensityStdDev_577F2:176.947;0002_MeanDecodingIntensity_577F1:432.21;0002_MeanDecodingIntensity_577F2:474.87;0002AEB:00.2030;0002DecodingIntensityStdDev:358.296;0002DecodingIntensityStdDev_488:358.296;0002DecodingIntensityStdDev_647:5.015;0002DecodingIntensityStdDev_700:5.080;0002DecodingIntensityStdDev_750:6.514;0002F_on:0.1837;0002FillPercent:016.18;0002KineticInconsistentLower:0;0002KineticInconsistentMetadata:-716.444999314652|2.82;0002MeanDecodingIntensity:1558.30;0002MeanDecodingIntensity_488:1558.30;0002MeanDecodingIntensity_647:34.79;0002MeanDecodingIntensity_700:30.58;0002MeanDecodingIntensity_750:35.67;0002ReflectiveIntensity:13340.77;0002ReflectiveIntensityStdDev:647.516;0002SealTimeEstimate:14.9;0021_DecodingIntensityStdDev_577F1:27.800;0021_DecodingIntensityStdDev_577F2:53.727;0021_MeanDecodingIntensity_577F1:403.64;0021_MeanDecodingIntensity_577F2:407.99;0021AEB:00.0162;0021DecodingIntensityStdDev:84.493;0021DecodingIntensityStdDev_488:23.650;0021DecodingIntensityStdDev_647:84.493;0021DecodingIntensityStdDev_700:10.051;0021DecodingIntensityStdDev_750:6.787;0021F_on:0.0160;0021FillPercent:010.09;0021KineticInconsistentLower:0;0021KineticInconsistentMetadata:-722.709101189703|2.85;0021MeanDecodingIntensity:415.17;0021MeanDecodingIntensity_488:140.22;0021MeanDecodingIntensity_647:415.17;0021MeanDecodingIntensity_700:67.82;0021MeanDecodingIntensity_750:35.70;0021ReflectiveIntensity:13107.38;0021ReflectiveIntensityStdDev:546.914;0021SealTimeEstimate:14.6;0201_DecodingIntensityStdDev_577F1:31.877;0201_DecodingIntensityStdDev_577F2:66.879;0201_MeanDecodingIntensity_577F1:404.09;0201_MeanDecodingIntensity_577F2:409.67;0201AEB:00.0190;0201DecodingIntensityStdDev:120.206;0201DecodingIntensityStdDev_488:27.813;0201DecodingIntensityStdDev_647:20.348;0201DecodingIntensityStdDev_700:120.206;0201DecodingIntensityStdDev_750:11.881;0201F_on:0.0188;0201FillPercent:011.79;0201KineticInconsistentLower:0;0201KineticInconsistentMetadata:-692.781880919859|2.81;0201MeanDecodingIntensity:490.59;0201MeanDecodingIntensity_488:143.11;0201MeanDecodingIntensity_647:97.90;0201MeanDecodingIntensity_700:490.59;0201MeanDecodingIntensity_750:64.86;0201ReflectiveIntensity:13171.34;0201ReflectiveIntensityStdDev:587.383;0201SealTimeEstimate:15.0;2001_DecodingIntensityStdDev_577F1:34.448;2001_DecodingIntensityStdDev_577F2:66.644;2001_MeanDecodingIntensity_577F1:434.22;2001_MeanDecodingIntensity_577F2:439.90;2001AEB:00.0213;2001DecodingIntensityStdDev:242.147;2001DecodingIntensityStdDev_488:27.729;2001DecodingIntensityStdDev_647:5.573;2001DecodingIntensityStdDev_700:6.033;2001DecodingIntensityStdDev_750:242.147;2001F_on:0.0211;2001FillPercent:011.33;2001KineticInconsistentLower:0;2001KineticInconsistentMetadata:-753.187510366976|2.81;2001MeanDecodingIntensity:932.12;2001MeanDecodingIntensity_488:142.83;2001MeanDecodingIntensity_647:37.98;2001MeanDecodingIntensity_700:34.49;2001MeanDecodingIntensity_750:932.12;2001ReflectiveIntensity:13174.42;2001ReflectiveIntensityStdDev:592.652;2001SealTimeEstimate:15.0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12.86;Empties488F1MeanIntensity:70.66;Empties577F1IntensityStdDev:19.84;Empties577F1MeanIntensity:376.10;Empties577F2IntensityStdDev:26.53;Empties577F2MeanIntensity:373.22;Empties647F1IntensityStdDev:4.44;Empties647F1MeanIntensity:31.52;Empties700F1IntensityStdDev:4.49;Empties700F1MeanIntensity:29.52;Empties750F1IntensityStdDev:5.54;Empties750F1MeanIntensity:34.14;EmptiesIGrowth:321.43;EmptiesReflectiveIntensityStdDev:394.91;EmptiesReflectiveMeanIntensity:11905.97;Errors:;F2minusF1Shift:0.2;FluorescenceClassification:Normal;Focus_FracImageLost:0.00;FocusScoresAvg:3.81;FocusScoresImageCenter:4.58;FocusScoresMax:5.06;FocusScoresMedian:3.82;FractionImageDebris:0.1102;FractionWellsDebris:0.0968;ImageQualityScoreIfUnpegged:1.00;IndexingWellsMissingFromFov:4050;IndexingWellsTotalLostBothVisibleAndMissing:5592;IndexingWellsVisibleInFovButRemoved:1542;L1DR time (ms):27082;NetBeadFillRate:34.65;NormalizedFillPercentage:049.40;Notes:Indexing: stripe across bottom | Xtalk: usable out of spec wv 577 sr 4 dir 5 value 0.036. | Xtalk: usable out of spec wv 577 sr 8 dir 5 value 0.041. | Xtalk: usable out of spec wv 577 sr 9 dir 5 value 0.036.;NumberDecSaturated:0;NumberEmpties:58788;NumberFlagged_DeadPixels:72.0000;NumberFlagged_Debris:18086.0000;NumberFlagged_MissingNeighbor:2508.0000;NumberFlagged_OddlyRecurrentClassification:414.0000;NumberFlagged_OutOfBounds:3232.0000;NumberInvalidWells:21235;NumberPositiveEmpties:58;NumberPositives:8707;NumberResSaturated:0;NumberSaturatedWithoutDebris:0;NumberValidUnclassified:49438.00;NumberValidWells:165610;OddlyAggregatedFlag:2;OddlyAggregatedLocations:;OddlyAggregatedWorst:0;OffsetW488:( 0, 0 );OffsetW577:( 0, 0 );OffsetW647:( 0, 0 );OffsetW700:( 0, 0 );OffsetW750:( 0, -1 );ResorufinUnsaturated:0;ResorufinUnsaturatedMutated:0;ResorufinUnsaturaterNumberInFit:34;SaturatedDecodingWells:0;SuspiciousWells:21756;SuspiciousWellsFlagged:1;SuspiciousWellsLowerThreshold:6;Warnings:;WhiteLightChannelMedian:9811;XtalkSubregionsOutOfSpec:0</t>
  </si>
  <si>
    <t>0002_DecodingIntensityStdDev_577F1:76.962;0002_DecodingIntensityStdDev_577F2:166.726;0002_MeanDecodingIntensity_577F1:413.28;0002_MeanDecodingIntensity_577F2:449.11;0002AEB:00.2058;0002DecodingIntensityStdDev:316.194;0002DecodingIntensityStdDev_488:316.194;0002DecodingIntensityStdDev_647:4.650;0002DecodingIntensityStdDev_700:4.460;0002DecodingIntensityStdDev_750:5.411;0002F_on:0.1860;0002FillPercent:012.03;0002KineticInconsistentLower:0;0002KineticInconsistentMetadata:-507.307559754725|2.37;0002MeanDecodingIntensity:1640.75;0002MeanDecodingIntensity_488:1640.75;0002MeanDecodingIntensity_647:34.67;0002MeanDecodingIntensity_700:29.88;0002MeanDecodingIntensity_750:34.29;0002ReflectiveIntensity:13448.58;0002ReflectiveIntensityStdDev:593.754;0002SealTimeEstimate:20.0;0021_DecodingIntensityStdDev_577F1:27.113;0021_DecodingIntensityStdDev_577F2:48.808;0021_MeanDecodingIntensity_577F1:383.27;0021_MeanDecodingIntensity_577F2:387.16;0021AEB:00.0152;0021DecodingIntensityStdDev:77.841;0021DecodingIntensityStdDev_488:19.722;0021DecodingIntensityStdDev_647:77.841;0021DecodingIntensityStdDev_700:9.068;0021DecodingIntensityStdDev_750:5.487;0021F_on:0.0151;0021FillPercent:007.18;0021KineticInconsistentLower:0;0021KineticInconsistentMetadata:-552.368524570429|2.48;0021MeanDecodingIntensity:436.80;0021MeanDecodingIntensity_488:133.01;0021MeanDecodingIntensity_647:436.80;0021MeanDecodingIntensity_700:69.40;0021MeanDecodingIntensity_750:34.17;0021ReflectiveIntensity:13209.20;0021ReflectiveIntensityStdDev:523.287;0021SealTimeEstimate:18.4;0201_DecodingIntensityStdDev_577F1:32.383;0201_DecodingIntensityStdDev_577F2:62.704;0201_MeanDecodingIntensity_577F1:382.26;0201_MeanDecodingIntensity_577F2:387.17;0201AEB:00.0184;0201DecodingIntensityStdDev:91.701;0201DecodingIntensityStdDev_488:21.720;0201DecodingIntensityStdDev_647:13.838;0201DecodingIntensityStdDev_700:91.701;0201DecodingIntensityStdDev_750:9.324;0201F_on:0.0182;0201FillPercent:007.92;0201KineticInconsistentLower:0;0201KineticInconsistentMetadata:-547.628836228074|2.46;0201MeanDecodingIntensity:509.07;0201MeanDecodingIntensity_488:134.55;0201MeanDecodingIntensity_647:100.45;0201MeanDecodingIntensity_700:509.07;0201MeanDecodingIntensity_750:65.11;0201ReflectiveIntensity:13225.64;0201ReflectiveIntensityStdDev:527.585;0201SealTimeEstimate:18.7;2001_DecodingIntensityStdDev_577F1:40.340;2001_DecodingIntensityStdDev_577F2:78.574;2001_MeanDecodingIntensity_577F1:414.41;2001_MeanDecodingIntensity_577F2:419.74;2001AEB:00.0200;2001DecodingIntensityStdDev:198.835;2001DecodingIntensityStdDev_488:22.005;2001DecodingIntensityStdDev_647:5.081;2001DecodingIntensityStdDev_700:5.118;2001DecodingIntensityStdDev_750:198.835;2001F_on:0.0198;2001FillPercent:007.77;2001KineticInconsistentLower:0;2001KineticInconsistentMetadata:-524.920573810084|2.33;2001MeanDecodingIntensity:983.59;2001MeanDecodingIntensity_488:134.71;2001MeanDecodingIntensity_647:37.82;2001MeanDecodingIntensity_700:34.07;2001MeanDecodingIntensity_750:983.59;2001ReflectiveIntensity:13220.37;2001ReflectiveIntensityStdDev:542.105;2001SealTimeEstimate:20.6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10.77;Empties488F1MeanIntensity:64.10;Empties577F1IntensityStdDev:23.76;Empties577F1MeanIntensity:349.54;Empties577F2IntensityStdDev:26.29;Empties577F2MeanIntensity:347.28;Empties647F1IntensityStdDev:4.25;Empties647F1MeanIntensity:31.45;Empties700F1IntensityStdDev:4.15;Empties700F1MeanIntensity:29.23;Empties750F1IntensityStdDev:4.94;Empties750F1MeanIntensity:33.40;EmptiesIGrowth:305.14;EmptiesReflectiveIntensityStdDev:389.89;EmptiesReflectiveMeanIntensity:11958.38;Errors:;F2minusF1Shift:1.1;FluorescenceClassification:Normal;Focus_FracImageLost:0.00;FocusScoresAvg:3.58;FocusScoresImageCenter:4.75;FocusScoresMax:5.28;FocusScoresMedian:3.53;FractionImageDebris:0.0336;FractionWellsDebris:0.0398;ImageQualityScoreIfUnpegged:1.00;IndexingWellsMissingFromFov:0;IndexingWellsTotalLostBothVisibleAndMissing:0;IndexingWellsVisibleInFovButRemoved:0;L1DR time (ms):28056;NetBeadFillRate:24.53;NormalizedFillPercentage:034.90;Notes:Xtalk: usable out of spec wv 577 sr 4 dir 5 value 0.043. | Xtalk: usable out of spec wv 577 sr 8 dir 5 value 0.048. | Xtalk: usable out of spec wv 577 sr 9 dir 5 value 0.048. | Xtalk: usable out of spec wv 488 sr 4 dir 5 value 0.041. | Xtalk: usable out of spec wv 488 sr 8 dir 5 value 0.038. | Xtalk: usable out of spec wv 488 sr 9 dir 5 value 0.038.;NumberDecSaturated:0;NumberEmpties:82483;NumberFlagged_DeadPixels:73.0000;NumberFlagged_Debris:7666.0000;NumberFlagged_MissingNeighbor:2245.0000;NumberFlagged_OutOfBounds:4215.0000;NumberInvalidWells:12145;NumberPositiveEmpties:31;NumberPositives:5926;NumberResSaturated:0;NumberSaturatedWithoutDebris:0;NumberValidUnclassified:53561.00;NumberValidWells:180262;OddlyAggregatedFlag:2;OddlyAggregatedLocations:;OddlyAggregatedWorst:0;OffsetW488:( 0, 0 );OffsetW577:( 0, 0 );OffsetW647:( 0, 0 );OffsetW700:( 0, 0 );OffsetW750:( 0, -1 );ResorufinUnsaturated:0;ResorufinUnsaturatedMutated:0;ResorufinUnsaturaterNumberInFit:34;SaturatedDecodingWells:0;SuspiciousWells:25074;SuspiciousWellsFlagged:1;SuspiciousWellsLowerThreshold:4;Warnings:;WhiteLightChannelMedian:9783;XtalkSubregionsOutOfSpec:0</t>
  </si>
  <si>
    <t>spikein-high-1-4-4</t>
  </si>
  <si>
    <t>Plate 2 - Well D9</t>
  </si>
  <si>
    <t>0002_DecodingIntensityStdDev_577F1:87.687;0002_DecodingIntensityStdDev_577F2:188.027;0002_MeanDecodingIntensity_577F1:441.62;0002_MeanDecodingIntensity_577F2:498.09;0002AEB:00.3206;0002DecodingIntensityStdDev:350.910;0002DecodingIntensityStdDev_488:350.910;0002DecodingIntensityStdDev_647:5.045;0002DecodingIntensityStdDev_700:5.006;0002DecodingIntensityStdDev_750:6.283;0002F_on:0.2743;0002FillPercent:015.83;0002KineticInconsistentLower:0;0002KineticInconsistentMetadata:-538.171737274743|2.39;0002MeanDecodingIntensity:1622.27;0002MeanDecodingIntensity_488:1622.27;0002MeanDecodingIntensity_647:35.18;0002MeanDecodingIntensity_700:30.39;0002MeanDecodingIntensity_750:35.34;0002ReflectiveIntensity:13457.78;0002ReflectiveIntensityStdDev:618.847;0002SealTimeEstimate:19.7;0021_DecodingIntensityStdDev_577F1:48.257;0021_DecodingIntensityStdDev_577F2:97.688;0021_MeanDecodingIntensity_577F1:411.29;0021_MeanDecodingIntensity_577F2:437.01;0021AEB:00.1395;0021DecodingIntensityStdDev:89.711;0021DecodingIntensityStdDev_488:23.275;0021DecodingIntensityStdDev_647:89.711;0021DecodingIntensityStdDev_700:10.344;0021DecodingIntensityStdDev_750:6.516;0021F_on:0.1302;0021FillPercent:009.72;0021KineticInconsistentLower:0;0021KineticInconsistentMetadata:-462.607156456144|2.24;0021MeanDecodingIntensity:449.82;0021MeanDecodingIntensity_488:141.88;0021MeanDecodingIntensity_647:449.82;0021MeanDecodingIntensity_700:71.69;0021MeanDecodingIntensity_750:35.34;0021ReflectiveIntensity:13247.67;0021ReflectiveIntensityStdDev:554.610;0021SealTimeEstimate:22.2;0201_DecodingIntensityStdDev_577F1:52.356;0201_DecodingIntensityStdDev_577F2:105.656;0201_MeanDecodingIntensity_577F1:409.89;0201_MeanDecodingIntensity_577F2:434.75;0201AEB:00.1324;0201DecodingIntensityStdDev:115.902;0201DecodingIntensityStdDev_488:27.407;0201DecodingIntensityStdDev_647:21.164;0201DecodingIntensityStdDev_700:115.902;0201DecodingIntensityStdDev_750:11.510;0201F_on:0.1240;0201FillPercent:011.16;0201KineticInconsistentLower:0;0201KineticInconsistentMetadata:-472.884296011823|2.26;0201MeanDecodingIntensity:524.78;0201MeanDecodingIntensity_488:144.40;0201MeanDecodingIntensity_647:102.25;0201MeanDecodingIntensity_700:524.78;0201MeanDecodingIntensity_750:66.65;0201ReflectiveIntensity:13282.73;0201ReflectiveIntensityStdDev:573.345;0201SealTimeEstimate:21.8;2001_DecodingIntensityStdDev_577F1:48.727;2001_DecodingIntensityStdDev_577F2:95.881;2001_MeanDecodingIntensity_577F1:443.70;2001_MeanDecodingIntensity_577F2:468.59;2001AEB:00.1332;2001DecodingIntensityStdDev:242.151;2001DecodingIntensityStdDev_488:29.863;2001DecodingIntensityStdDev_647:6.290;2001DecodingIntensityStdDev_700:5.990;2001DecodingIntensityStdDev_750:242.151;2001F_on:0.1247;2001FillPercent:010.62;2001KineticInconsistentLower:0;2001KineticInconsistentMetadata:-521.419575939531|2.28;2001MeanDecodingIntensity:1047.51;2001MeanDecodingIntensity_488:144.57;2001MeanDecodingIntensity_647:38.72;2001MeanDecodingIntensity_700:34.89;2001MeanDecodingIntensity_750:1047.51;2001ReflectiveIntensity:13281.22;2001ReflectiveIntensityStdDev:585.555;2001SealTimeEstimate:21.4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12.10;Empties488F1MeanIntensity:66.41;Empties577F1IntensityStdDev:35.02;Empties577F1MeanIntensity:363.94;Empties577F2IntensityStdDev:64.26;Empties577F2MeanIntensity:364.33;Empties647F1IntensityStdDev:4.50;Empties647F1MeanIntensity:31.46;Empties700F1IntensityStdDev:4.53;Empties700F1MeanIntensity:29.39;Empties750F1IntensityStdDev:5.48;Empties750F1MeanIntensity:33.73;EmptiesIGrowth:317.59;EmptiesReflectiveIntensityStdDev:390.51;EmptiesReflectiveMeanIntensity:12012.26;Errors:;F2minusF1Shift:-1.7;FittedF2OverF1Intercept:-358.406182790476;FittedF2OverF1Slope:1.98056641047986;FluorescenceClassification:Normal;Focus_FracImageLost:0.00;FocusScoresAvg:3.77;FocusScoresImageCenter:4.62;FocusScoresMax:5.30;FocusScoresMedian:3.83;FractionImageDebris:0.0969;FractionWellsDebris:0.1077;ImageQualityScoreIfUnpegged:1.00;IndexingWellsMissingFromFov:0;IndexingWellsTotalLostBothVisibleAndMissing:0;IndexingWellsVisibleInFovButRemoved:0;L1DR time (ms):26983;NetBeadFillRate:33.21;NormalizedFillPercentage:047.34;Notes:Xtalk: usable out of spec wv 577 sr 4 dir 5 value 0.041. | Xtalk: usable out of spec wv 577 sr 8 dir 5 value 0.043. | Xtalk: usable out of spec wv 577 sr 9 dir 5 value 0.041. | Xtalk: usable out of spec wv 488 sr 4 dir 5 value 0.036. | Xtalk: usable out of spec wv 488 sr 8 dir 5 value 0.038. | Xtalk: usable out of spec wv 488 sr 9 dir 5 value 0.041.;NumberDecSaturated:0;NumberEmpties:61587;NumberFlagged_DeadPixels:70.0000;NumberFlagged_Debris:20699.0000;NumberFlagged_MissingNeighbor:3218.0000;NumberFlagged_OddlyRecurrentClassification:2926.0000;NumberFlagged_OutOfBounds:4100.0000;NumberInvalidWells:25572;NumberPositiveEmpties:296;NumberPositives:22056;NumberResSaturated:0;NumberSaturatedWithoutDebris:0;NumberValidUnclassified:49734.00;NumberValidWells:166679;OddlyAggregatedFlag:2;OddlyAggregatedLocations:;OddlyAggregatedWorst:0;OffsetW488:( 0, 0 );OffsetW577:( 0, 0 );OffsetW647:( 0, 0 );OffsetW700:( 0, -1 );OffsetW750:( 0, -1 );ResorufinUnsaturated:1;ResorufinUnsaturatedMutated:0;ResorufinUnsaturatedSuspiciousF1:0;ResorufinUnsaturaterNumberInFit:205;SaturatedDecodingWells:0;SuspiciousWells:23539;SuspiciousWellsFlagged:1;SuspiciousWellsLowerThreshold:6;Warnings:;WhiteLightChannelMedian:9905;XtalkSubregionsOutOfSpec:0</t>
  </si>
  <si>
    <t>0002_DecodingIntensityStdDev_577F1:93.751;0002_DecodingIntensityStdDev_577F2:199.280;0002_MeanDecodingIntensity_577F1:439.61;0002_MeanDecodingIntensity_577F2:493.89;0002AEB:00.2876;0002DecodingIntensityStdDev:329.638;0002DecodingIntensityStdDev_488:329.638;0002DecodingIntensityStdDev_647:4.795;0002DecodingIntensityStdDev_700:4.575;0002DecodingIntensityStdDev_750:5.720;0002F_on:0.2499;0002FillPercent:013.05;0002KineticInconsistentLower:0;0002KineticInconsistentMetadata:-526.464127631201|2.37;0002MeanDecodingIntensity:1646.65;0002MeanDecodingIntensity_488:1646.65;0002MeanDecodingIntensity_647:35.15;0002MeanDecodingIntensity_700:30.17;0002MeanDecodingIntensity_750:35.04;0002ReflectiveIntensity:13675.45;0002ReflectiveIntensityStdDev:597.751;0002SealTimeEstimate:20.0;0021_DecodingIntensityStdDev_577F1:44.163;0021_DecodingIntensityStdDev_577F2:86.474;0021_MeanDecodingIntensity_577F1:408.73;0021_MeanDecodingIntensity_577F2:431.54;0021AEB:00.1102;0021DecodingIntensityStdDev:83.988;0021DecodingIntensityStdDev_488:20.631;0021DecodingIntensityStdDev_647:83.988;0021DecodingIntensityStdDev_700:9.702;0021DecodingIntensityStdDev_750:5.946;0021F_on:0.1044;0021FillPercent:007.88;0021KineticInconsistentLower:0;0021KineticInconsistentMetadata:-490.965636933121|2.3;0021MeanDecodingIntensity:439.57;0021MeanDecodingIntensity_488:139.53;0021MeanDecodingIntensity_647:439.57;0021MeanDecodingIntensity_700:70.01;0021MeanDecodingIntensity_750:35.03;0021ReflectiveIntensity:13443.97;0021ReflectiveIntensityStdDev:542.162;0021SealTimeEstimate:21.1;0201_DecodingIntensityStdDev_577F1:45.764;0201_DecodingIntensityStdDev_577F2:90.056;0201_MeanDecodingIntensity_577F1:407.75;0201_MeanDecodingIntensity_577F2:430.21;0201AEB:00.1038;0201DecodingIntensityStdDev:99.443;0201DecodingIntensityStdDev_488:22.602;0201DecodingIntensityStdDev_647:14.780;0201DecodingIntensityStdDev_700:99.443;0201DecodingIntensityStdDev_750:9.721;0201F_on:0.0986;0201FillPercent:008.83;0201KineticInconsistentLower:0;0201KineticInconsistentMetadata:-487.148283219727|2.29;0201MeanDecodingIntensity:513.10;0201MeanDecodingIntensity_488:141.25;0201MeanDecodingIntensity_647:101.33;0201MeanDecodingIntensity_700:513.10;0201MeanDecodingIntensity_750:65.80;0201ReflectiveIntensity:13465.76;0201ReflectiveIntensityStdDev:549.776;0201SealTimeEstimate:21.3;2001_DecodingIntensityStdDev_577F1:49.796;2001_DecodingIntensityStdDev_577F2:97.151;2001_MeanDecodingIntensity_577F1:440.06;2001_MeanDecodingIntensity_577F2:462.38;2001AEB:00.1177;2001DecodingIntensityStdDev:209.084;2001DecodingIntensityStdDev_488:22.710;2001DecodingIntensityStdDev_647:5.238;2001DecodingIntensityStdDev_700:5.326;2001DecodingIntensityStdDev_750:209.084;2001F_on:0.1110;2001FillPercent:008.62;2001KineticInconsistentLower:0;2001KineticInconsistentMetadata:-511.093243439626|2.26;2001MeanDecodingIntensity:1006.38;2001MeanDecodingIntensity_488:141.70;2001MeanDecodingIntensity_647:38.32;2001MeanDecodingIntensity_700:34.48;2001MeanDecodingIntensity_750:1006.38;2001ReflectiveIntensity:13463.56;2001ReflectiveIntensityStdDev:558.797;2001SealTimeEstimate:21.8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11.26;Empties488F1MeanIntensity:68.80;Empties577F1IntensityStdDev:29.53;Empties577F1MeanIntensity:356.98;Empties577F2IntensityStdDev:35.83;Empties577F2MeanIntensity:356.12;Empties647F1IntensityStdDev:4.33;Empties647F1MeanIntensity:31.76;Empties700F1IntensityStdDev:4.25;Empties700F1MeanIntensity:29.44;Empties750F1IntensityStdDev:5.09;Empties750F1MeanIntensity:33.93;EmptiesIGrowth:308.93;EmptiesReflectiveIntensityStdDev:383.67;EmptiesReflectiveMeanIntensity:12185.59;Errors:;F2minusF1Shift:-1.4;FluorescenceClassification:Normal;Focus_FracImageLost:0.00;FocusScoresAvg:3.70;FocusScoresImageCenter:4.67;FocusScoresMax:5.36;FocusScoresMedian:3.63;FractionImageDebris:0.0475;FractionWellsDebris:0.0552;ImageQualityScoreIfUnpegged:0.60;IndexingWellsMissingFromFov:0;IndexingWellsTotalLostBothVisibleAndMissing:0;IndexingWellsVisibleInFovButRemoved:0;L1DR time (ms):25817;NetBeadFillRate:26.96;NormalizedFillPercentage:038.39;Notes:Xtalk: usable out of spec wv 577 sr 4 dir 5 value 0.038. | Xtalk: usable out of spec wv 577 sr 9 dir 5 value 0.041. | Xtalk: usable out of spec wv 700 sr 8 dir 5 value 0.036. | Xtalk: usable out of spec wv 488 sr 4 dir 5 value 0.036.;NumberDecSaturated:0;NumberEmpties:70530;NumberFlagged_DeadPixels:72.0000;NumberFlagged_Debris:10628.0000;NumberFlagged_MissingNeighbor:2835.0000;NumberFlagged_OutOfBounds:4070.0000;NumberFlagged_OutOfSpecXtalk:15817.0000;NumberInvalidWells:29398;NumberPositiveEmpties:64;NumberPositives:14415;NumberResSaturated:0;NumberSaturatedWithoutDebris:0;NumberValidUnclassified:48494.00;NumberValidWells:162964;OddlyAggregatedFlag:2;OddlyAggregatedLocations:;OddlyAggregatedWorst:0;OffsetW488:( 0, 0 );OffsetW577:( 0, 0 );OffsetW647:( 0, 0 );OffsetW700:( 0, 0 );OffsetW750:( 0, -1 );ResorufinUnsaturated:0;ResorufinUnsaturatedMutated:0;ResorufinUnsaturaterNumberInFit:116;SaturatedDecodingWells:0;SuspiciousWells:24324;SuspiciousWellsFlagged:1;SuspiciousWellsLowerThreshold:5;Warnings:Xtalk: unusable out of spec wv 577 sr 8 dir 5 value 0.055.;WhiteLightChannelMedian:9889;XtalkSubregionsOutOfSpec:1</t>
  </si>
  <si>
    <t>0002_DecodingIntensityStdDev_577F1:92.224;0002_DecodingIntensityStdDev_577F2:199.079;0002_MeanDecodingIntensity_577F1:445.26;0002_MeanDecodingIntensity_577F2:502.74;0002AEB:00.2951;0002DecodingIntensityStdDev:348.411;0002DecodingIntensityStdDev_488:348.411;0002DecodingIntensityStdDev_647:4.790;0002DecodingIntensityStdDev_700:4.704;0002DecodingIntensityStdDev_750:5.759;0002F_on:0.2555;0002FillPercent:013.85;0002KineticInconsistentLower:0;0002KineticInconsistentMetadata:-541.280562077032|2.4;0002MeanDecodingIntensity:1659.57;0002MeanDecodingIntensity_488:1659.57;0002MeanDecodingIntensity_647:35.01;0002MeanDecodingIntensity_700:30.21;0002MeanDecodingIntensity_750:34.81;0002ReflectiveIntensity:13270.28;0002ReflectiveIntensityStdDev:614.842;0002SealTimeEstimate:19.5;0021_DecodingIntensityStdDev_577F1:43.683;0021_DecodingIntensityStdDev_577F2:86.892;0021_MeanDecodingIntensity_577F1:412.41;0021_MeanDecodingIntensity_577F2:435.41;0021AEB:00.1090;0021DecodingIntensityStdDev:79.604;0021DecodingIntensityStdDev_488:20.633;0021DecodingIntensityStdDev_647:79.604;0021DecodingIntensityStdDev_700:9.412;0021DecodingIntensityStdDev_750:5.876;0021F_on:0.1033;0021FillPercent:008.22;0021KineticInconsistentLower:0;0021KineticInconsistentMetadata:-495.038827424753|2.31;0021MeanDecodingIntensity:440.90;0021MeanDecodingIntensity_488:139.05;0021MeanDecodingIntensity_647:440.90;0021MeanDecodingIntensity_700:70.30;0021MeanDecodingIntensity_750:34.74;0021ReflectiveIntensity:13029.84;0021ReflectiveIntensityStdDev:518.530;0021SealTimeEstimate:20.9;0201_DecodingIntensityStdDev_577F1:44.837;0201_DecodingIntensityStdDev_577F2:87.766;0201_MeanDecodingIntensity_577F1:411.42;0201_MeanDecodingIntensity_577F2:434.23;0201AEB:00.1098;0201DecodingIntensityStdDev:109.171;0201DecodingIntensityStdDev_488:24.360;0201DecodingIntensityStdDev_647:18.934;0201DecodingIntensityStdDev_700:109.171;0201DecodingIntensityStdDev_750:10.373;0201F_on:0.1040;0201FillPercent:009.37;0201KineticInconsistentLower:0;0201KineticInconsistentMetadata:-509.155742137918|2.34;0201MeanDecodingIntensity:523.12;0201MeanDecodingIntensity_488:141.14;0201MeanDecodingIntensity_647:101.06;0201MeanDecodingIntensity_700:523.12;0201MeanDecodingIntensity_750:65.52;0201ReflectiveIntensity:13066.24;0201ReflectiveIntensityStdDev:544.398;0201SealTimeEstimate:20.4;2001_DecodingIntensityStdDev_577F1:50.916;2001_DecodingIntensityStdDev_577F2:100.505;2001_MeanDecodingIntensity_577F1:444.47;2001_MeanDecodingIntensity_577F2:468.12;2001AEB:00.1129;2001DecodingIntensityStdDev:220.867;2001DecodingIntensityStdDev_488:23.233;2001DecodingIntensityStdDev_647:5.254;2001DecodingIntensityStdDev_700:5.412;2001DecodingIntensityStdDev_750:220.867;2001F_on:0.1068;2001FillPercent:009.03;2001KineticInconsistentLower:0;2001KineticInconsistentMetadata:-545.464629829634|2.33;2001MeanDecodingIntensity:1001.66;2001MeanDecodingIntensity_488:140.95;2001MeanDecodingIntensity_647:38.18;2001MeanDecodingIntensity_700:34.38;2001MeanDecodingIntensity_750:1001.66;2001ReflectiveIntensity:13069.72;2001ReflectiveIntensityStdDev:556.626;2001SealTimeEstimate:20.6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11.37;Empties488F1MeanIntensity:67.36;Empties577F1IntensityStdDev:25.98;Empties577F1MeanIntensity:369.23;Empties577F2IntensityStdDev:39.38;Empties577F2MeanIntensity:367.61;Empties647F1IntensityStdDev:4.19;Empties647F1MeanIntensity:31.43;Empties700F1IntensityStdDev:4.15;Empties700F1MeanIntensity:29.29;Empties750F1IntensityStdDev:4.93;Empties750F1MeanIntensity:33.50;EmptiesIGrowth:302.39;EmptiesReflectiveIntensityStdDev:368.66;EmptiesReflectiveMeanIntensity:11802.17;Errors:;F2minusF1Shift:-1.3;FluorescenceClassification:Normal;Focus_FracImageLost:0.00;FocusScoresAvg:3.60;FocusScoresImageCenter:4.14;FocusScoresMax:5.00;FocusScoresMedian:3.65;FractionImageDebris:0.0821;FractionWellsDebris:0.0654;ImageQualityScoreIfUnpegged:1.00;IndexingWellsMissingFromFov:3384;IndexingWellsTotalLostBothVisibleAndMissing:5592;IndexingWellsVisibleInFovButRemoved:2208;L1DR time (ms):27038;NetBeadFillRate:28.42;NormalizedFillPercentage:040.46;Notes:Indexing: stripe across bottom | Xtalk: usable out of spec wv 577 sr 8 dir 5 value 0.041.;NumberDecSaturated:0;NumberEmpties:71398;NumberFlagged_DeadPixels:66.0000;NumberFlagged_Debris:12225.0000;NumberFlagged_MissingNeighbor:3188.0000;NumberFlagged_OddlyRecurrentClassification:361.0000;NumberFlagged_OutOfBounds:3171.0000;NumberInvalidWells:16089;NumberPositiveEmpties:137;NumberPositives:16476;NumberResSaturated:0;NumberSaturatedWithoutDebris:0;NumberValidUnclassified:50807.00;NumberValidWells:170727;OddlyAggregatedFlag:2;OddlyAggregatedLocations:;OddlyAggregatedWorst:0;OffsetW488:( 0, 0 );OffsetW577:( 0, 0 );OffsetW647:( 0, 0 );OffsetW700:( 0, 0 );OffsetW750:( 0, -1 );ResorufinUnsaturated:0;ResorufinUnsaturatedMutated:0;ResorufinUnsaturaterNumberInFit:163;SaturatedDecodingWells:0;SuspiciousWells:19323;SuspiciousWellsFlagged:1;SuspiciousWellsLowerThreshold:5;Warnings:;WhiteLightChannelMedian:9687;XtalkSubregionsOutOfSpec:0</t>
  </si>
  <si>
    <t>spikein-high-1-4-5</t>
  </si>
  <si>
    <t>Plate 2 - Well E9</t>
  </si>
  <si>
    <t>0002_DecodingIntensityStdDev_577F1:117.744;0002_DecodingIntensityStdDev_577F2:240.611;0002_MeanDecodingIntensity_577F1:603.56;0002_MeanDecodingIntensity_577F2:836.32;0002AEB:-;0002DecodingIntensityStdDev:358.563;0002DecodingIntensityStdDev_488:358.563;0002DecodingIntensityStdDev_647:4.874;0002DecodingIntensityStdDev_700:4.857;0002DecodingIntensityStdDev_750:5.950;0002F_on:0.9957;0002FillPercent:014.39;0002KineticInconsistentLower:0;0002KineticInconsistentMetadata:-483.191986254328|2.24;0002MeanDecodingIntensity:1712.98;0002MeanDecodingIntensity_488:1712.98;0002MeanDecodingIntensity_647:35.39;0002MeanDecodingIntensity_700:30.58;0002MeanDecodingIntensity_750:35.15;0002ReflectiveIntensity:13334.95;0002ReflectiveIntensityStdDev:629.873;0002SealTimeEstimate:22.2;0021_DecodingIntensityStdDev_577F1:101.057;0021_DecodingIntensityStdDev_577F2:203.626;0021_MeanDecodingIntensity_577F1:609.67;0021_MeanDecodingIntensity_577F2:858.07;0021AEB:-;0021DecodingIntensityStdDev:84.683;0021DecodingIntensityStdDev_488:23.562;0021DecodingIntensityStdDev_647:84.683;0021DecodingIntensityStdDev_700:9.825;0021DecodingIntensityStdDev_750:6.220;0021F_on:0.9990;0021FillPercent:008.74;0021KineticInconsistentLower:0;0021KineticInconsistentMetadata:-471.477079796039|2.23;0021MeanDecodingIntensity:447.92;0021MeanDecodingIntensity_488:145.93;0021MeanDecodingIntensity_647:447.92;0021MeanDecodingIntensity_700:71.47;0021MeanDecodingIntensity_750:35.19;0021ReflectiveIntensity:13092.35;0021ReflectiveIntensityStdDev:538.006;0021SealTimeEstimate:22.4;0201_DecodingIntensityStdDev_577F1:100.204;0201_DecodingIntensityStdDev_577F2:199.971;0201_MeanDecodingIntensity_577F1:607.27;0201_MeanDecodingIntensity_577F2:850.79;0201AEB:-;0201DecodingIntensityStdDev:116.579;0201DecodingIntensityStdDev_488:26.369;0201DecodingIntensityStdDev_647:18.463;0201DecodingIntensityStdDev_700:116.579;0201DecodingIntensityStdDev_750:10.655;0201F_on:0.9976;0201FillPercent:010.18;0201KineticInconsistentLower:0;0201KineticInconsistentMetadata:-460.6190864162|2.21;0201MeanDecodingIntensity:531.32;0201MeanDecodingIntensity_488:148.19;0201MeanDecodingIntensity_647:102.61;0201MeanDecodingIntensity_700:531.32;0201MeanDecodingIntensity_750:66.36;0201ReflectiveIntensity:13144.44;0201ReflectiveIntensityStdDev:573.565;0201SealTimeEstimate:22.7;2001_DecodingIntensityStdDev_577F1:101.152;2001_DecodingIntensityStdDev_577F2:200.022;2001_MeanDecodingIntensity_577F1:635.06;2001_MeanDecodingIntensity_577F2:874.53;2001AEB:-;2001DecodingIntensityStdDev:218.730;2001DecodingIntensityStdDev_488:26.030;2001DecodingIntensityStdDev_647:5.330;2001DecodingIntensityStdDev_700:5.704;2001DecodingIntensityStdDev_750:218.730;2001F_on:0.9985;2001FillPercent:009.58;2001KineticInconsistentLower:0;2001KineticInconsistentMetadata:-491.417943761664|2.2;2001MeanDecodingIntensity:989.30;2001MeanDecodingIntensity_488:148.07;2001MeanDecodingIntensity_647:38.62;2001MeanDecodingIntensity_700:34.67;2001MeanDecodingIntensity_750:989.30;2001ReflectiveIntensity:13139.04;2001ReflectiveIntensityStdDev:587.385;2001SealTimeEstimate:22.9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13.23;Empties488F1MeanIntensity:72.85;Empties577F1IntensityStdDev:32.39;Empties577F1MeanIntensity:381.52;Empties577F2IntensityStdDev:54.38;Empties577F2MeanIntensity:383.15;Empties647F1IntensityStdDev:4.35;Empties647F1MeanIntensity:31.74;Empties700F1IntensityStdDev:4.33;Empties700F1MeanIntensity:29.60;Empties750F1IntensityStdDev:5.19;Empties750F1MeanIntensity:33.86;EmptiesIGrowth:240.87;EmptiesReflectiveIntensityStdDev:373.85;EmptiesReflectiveMeanIntensity:11781.35;Errors:;F2minusF1Shift:-2.0;FittedF2OverF1Intercept:-425.886252122677;FittedF2OverF1Slope:1.97760729257929;FluorescenceClassification:Normal;Focus_FracImageLost:0.00;FocusScoresAvg:3.76;FocusScoresImageCenter:4.06;FocusScoresMax:5.26;FocusScoresMedian:3.71;FractionImageDebris:0.2080;FractionWellsDebris:0.2114;ImageQualityScoreIfUnpegged:1.00;IndexingWellsMissingFromFov:4282;IndexingWellsTotalLostBothVisibleAndMissing:5592;IndexingWellsVisibleInFovButRemoved:1310;L1DR time (ms):27757;NetBeadFillRate:30.09;NormalizedFillPercentage:042.89;Notes:Indexing: stripe across bottom | Xtalk: usable out of spec wv 577 sr 4 dir 5 value 0.036. | Xtalk: usable out of spec wv 577 sr 8 dir 5 value 0.038.;NumberDecSaturated:2;NumberEmpties:52688;NumberFlagged_DeadPixels:70.0000;NumberFlagged_Debris:39503.0000;NumberFlagged_MissingNeighbor:3212.0000;NumberFlagged_NeighborSaturated:24.0000;NumberFlagged_OddlyRecurrentClassification:23472.0000;NumberFlagged_OutOfBounds:3133.0000;NumberFlagged_SaturatedPixelDecodingFour:02.0000;NumberFlagged_SaturatedPixelResorufinTwo:02.0000;NumberFlagged_SaturationRemoverSuspiciousF1:02.0000;NumberInvalidWells:55350;NumberPositiveEmpties:157;NumberPositives:84857;NumberResSaturated:2;NumberSaturatedWithoutDebris:2;NumberValidUnclassified:39228.00;NumberValidWells:131487;OddlyAggregatedFlag:2;OddlyAggregatedLocations:;OddlyAggregatedWorst:0;OffsetW488:( 0, 0 );OffsetW577:( 0, 0 );OffsetW647:( 0, 0 );OffsetW700:( 0, 0 );OffsetW750:( 0, -1 );ResorufinUnsaturated:1;ResorufinUnsaturatedMutated:0;ResorufinUnsaturatedSuspiciousF1:2;ResorufinUnsaturaterNumberInFit:1924;SaturatedDecodingWells:2;SuspiciousWells:27005;SuspiciousWellsFlagged:1;SuspiciousWellsLowerThreshold:5;Warnings:;WhiteLightChannelMedian:9745;XtalkSubregionsOutOfSpec:0</t>
  </si>
  <si>
    <t>0002_DecodingIntensityStdDev_577F1:92.531;0002_DecodingIntensityStdDev_577F2:206.496;0002_MeanDecodingIntensity_577F1:561.13;0002_MeanDecodingIntensity_577F2:776.04;0002AEB:-;0002DecodingIntensityStdDev:339.386;0002DecodingIntensityStdDev_488:339.386;0002DecodingIntensityStdDev_647:4.620;0002DecodingIntensityStdDev_700:4.557;0002DecodingIntensityStdDev_750:5.777;0002F_on:0.9901;0002FillPercent:013.84;0002KineticInconsistentLower:0;0002KineticInconsistentMetadata:-569.88417540209|2.45;0002MeanDecodingIntensity:1616.94;0002MeanDecodingIntensity_488:1616.94;0002MeanDecodingIntensity_647:34.71;0002MeanDecodingIntensity_700:30.15;0002MeanDecodingIntensity_750:34.86;0002ReflectiveIntensity:13077.34;0002ReflectiveIntensityStdDev:574.461;0002SealTimeEstimate:18.8;0021_DecodingIntensityStdDev_577F1:83.796;0021_DecodingIntensityStdDev_577F2:187.726;0021_MeanDecodingIntensity_577F1:567.03;0021_MeanDecodingIntensity_577F2:800.10;0021AEB:-;0021DecodingIntensityStdDev:77.356;0021DecodingIntensityStdDev_488:20.276;0021DecodingIntensityStdDev_647:77.356;0021DecodingIntensityStdDev_700:9.191;0021DecodingIntensityStdDev_750:5.779;0021F_on:0.9973;0021FillPercent:008.19;0021KineticInconsistentLower:0;0021KineticInconsistentMetadata:-569.012138628458|2.46;0021MeanDecodingIntensity:423.85;0021MeanDecodingIntensity_488:139.15;0021MeanDecodingIntensity_647:423.85;0021MeanDecodingIntensity_700:68.84;0021MeanDecodingIntensity_750:34.52;0021ReflectiveIntensity:12840.87;0021ReflectiveIntensityStdDev:464.206;0021SealTimeEstimate:18.7;0201_DecodingIntensityStdDev_577F1:78.254;0201_DecodingIntensityStdDev_577F2:174.163;0201_MeanDecodingIntensity_577F1:561.54;0201_MeanDecodingIntensity_577F2:786.22;0201AEB:-;0201DecodingIntensityStdDev:100.780;0201DecodingIntensityStdDev_488:22.836;0201DecodingIntensityStdDev_647:14.307;0201DecodingIntensityStdDev_700:100.780;0201DecodingIntensityStdDev_750:9.976;0201F_on:0.9970;0201FillPercent:009.55;0201KineticInconsistentLower:0;0201KineticInconsistentMetadata:-563.527937299598|2.45;0201MeanDecodingIntensity:504.00;0201MeanDecodingIntensity_488:140.55;0201MeanDecodingIntensity_647:97.17;0201MeanDecodingIntensity_700:504.00;0201MeanDecodingIntensity_750:64.09;0201ReflectiveIntensity:12865.99;0201ReflectiveIntensityStdDev:488.683;0201SealTimeEstimate:18.8;2001_DecodingIntensityStdDev_577F1:84.461;2001_DecodingIntensityStdDev_577F2:186.979;2001_MeanDecodingIntensity_577F1:590.35;2001_MeanDecodingIntensity_577F2:814.62;2001AEB:-;2001DecodingIntensityStdDev:197.287;2001DecodingIntensityStdDev_488:22.563;2001DecodingIntensityStdDev_647:5.049;2001DecodingIntensityStdDev_700:5.192;2001DecodingIntensityStdDev_750:197.287;2001F_on:0.9972;2001FillPercent:009.14;2001KineticInconsistentLower:0;2001KineticInconsistentMetadata:-597.983983100175|2.44;2001MeanDecodingIntensity:929.24;2001MeanDecodingIntensity_488:140.53;2001MeanDecodingIntensity_647:37.68;2001MeanDecodingIntensity_700:34.09;2001MeanDecodingIntensity_750:929.24;2001ReflectiveIntensity:12866.38;2001ReflectiveIntensityStdDev:503.493;2001SealTimeEstimate:19.0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11.55;Empties488F1MeanIntensity:70.86;Empties577F1IntensityStdDev:30.80;Empties577F1MeanIntensity:378.68;Empties577F2IntensityStdDev:58.04;Empties577F2MeanIntensity:381.16;Empties647F1IntensityStdDev:4.15;Empties647F1MeanIntensity:31.36;Empties700F1IntensityStdDev:4.12;Empties700F1MeanIntensity:29.34;Empties750F1IntensityStdDev:4.96;Empties750F1MeanIntensity:33.58;EmptiesIGrowth:278.11;EmptiesReflectiveIntensityStdDev:299.16;EmptiesReflectiveMeanIntensity:11656.97;Errors:;F2minusF1Shift:-3.0;FittedF2OverF1Intercept:-602.340433345777;FittedF2OverF1Slope:2.26636805433383;FluorescenceClassification:Normal;Focus_FracImageLost:0.00;FocusScoresAvg:3.49;FocusScoresImageCenter:3.95;FocusScoresMax:4.86;FocusScoresMedian:3.43;FractionImageDebris:0.1763;FractionWellsDebris:0.1941;ImageQualityScoreIfUnpegged:1.00;IndexingWellsMissingFromFov:0;IndexingWellsTotalLostBothVisibleAndMissing:0;IndexingWellsVisibleInFovButRemoved:0;L1DR time (ms):28448;NetBeadFillRate:28.59;NormalizedFillPercentage:040.72;Notes:Xtalk: usable out of spec wv 577 sr 4 dir 5 value 0.041. | Xtalk: usable out of spec wv 577 sr 8 dir 5 value 0.046.;NumberDecSaturated:0;NumberEmpties:60898;NumberFlagged_DeadPixels:75.0000;NumberFlagged_Debris:37291.0000;NumberFlagged_MissingNeighbor:2584.0000;NumberFlagged_NeighborSaturated:15.0000;NumberFlagged_OddlyRecurrentClassification:11049.0000;NumberFlagged_OutOfBounds:3594.0000;NumberFlagged_SaturatedPixelResorufinTwo:05.0000;NumberFlagged_SaturationRemoverSuspiciousF1:05.0000;NumberInvalidWells:45825;NumberPositiveEmpties:182;NumberPositives:80595;NumberResSaturated:5;NumberSaturatedWithoutDebris:0;NumberValidUnclassified:43598.00;NumberValidWells:146328;OddlyAggregatedFlag:2;OddlyAggregatedLocations:;OddlyAggregatedWorst:0;OffsetW488:( 0, 0 );OffsetW577:( 0, 0 );OffsetW647:( 0, 0 );OffsetW700:( 0, 0 );OffsetW750:( 0, 0 );ResorufinUnsaturated:1;ResorufinUnsaturatedMutated:1;ResorufinUnsaturatedSuspiciousF1:5;ResorufinUnsaturaterNumberInFit:455;SaturatedDecodingWells:0;SuspiciousWells:27570;SuspiciousWellsFlagged:1;SuspiciousWellsLowerThreshold:4;Warnings:;WhiteLightChannelMedian:9696;XtalkSubregionsOutOfSpec:0</t>
  </si>
  <si>
    <t>0002_DecodingIntensityStdDev_577F1:101.854;0002_DecodingIntensityStdDev_577F2:217.693;0002_MeanDecodingIntensity_577F1:561.59;0002_MeanDecodingIntensity_577F2:762.36;0002AEB:-;0002DecodingIntensityStdDev:431.171;0002DecodingIntensityStdDev_488:431.171;0002DecodingIntensityStdDev_647:5.269;0002DecodingIntensityStdDev_700:5.331;0002DecodingIntensityStdDev_750:6.902;0002F_on:0.9876;0002FillPercent:011.23;0002KineticInconsistentLower:0;0002KineticInconsistentMetadata:-527.029936620751|2.35;0002MeanDecodingIntensity:1691.41;0002MeanDecodingIntensity_488:1691.41;0002MeanDecodingIntensity_647:35.59;0002MeanDecodingIntensity_700:30.70;0002MeanDecodingIntensity_750:35.82;0002ReflectiveIntensity:13311.41;0002ReflectiveIntensityStdDev:681.741;0002SealTimeEstimate:20.3;0021_DecodingIntensityStdDev_577F1:89.977;0021_DecodingIntensityStdDev_577F2:190.693;0021_MeanDecodingIntensity_577F1:566.53;0021_MeanDecodingIntensity_577F2:781.56;0021AEB:-;0021DecodingIntensityStdDev:107.344;0021DecodingIntensityStdDev_488:25.624;0021DecodingIntensityStdDev_647:107.344;0021DecodingIntensityStdDev_700:12.314;0021DecodingIntensityStdDev_750:7.766;0021F_on:0.9956;0021FillPercent:007.01;0021KineticInconsistentLower:0;0021KineticInconsistentMetadata:-510.93426311235|2.33;0021MeanDecodingIntensity:448.51;0021MeanDecodingIntensity_488:149.51;0021MeanDecodingIntensity_647:448.51;0021MeanDecodingIntensity_700:72.44;0021MeanDecodingIntensity_750:36.04;0021ReflectiveIntensity:13075.51;0021ReflectiveIntensityStdDev:578.400;0021SealTimeEstimate:20.6;0201_DecodingIntensityStdDev_577F1:98.990;0201_DecodingIntensityStdDev_577F2:203.959;0201_MeanDecodingIntensity_577F1:577.21;0201_MeanDecodingIntensity_577F2:799.34;0201AEB:-;0201DecodingIntensityStdDev:163.520;0201DecodingIntensityStdDev_488:86.857;0201DecodingIntensityStdDev_647:84.239;0201DecodingIntensityStdDev_700:163.520;0201DecodingIntensityStdDev_750:27.741;0201F_on:0.9953;0201FillPercent:008.88;0201KineticInconsistentLower:0;0201KineticInconsistentMetadata:-481.724319219892|2.27;0201MeanDecodingIntensity:546.30;0201MeanDecodingIntensity_488:165.10;0201MeanDecodingIntensity_647:128.04;0201MeanDecodingIntensity_700:546.30;0201MeanDecodingIntensity_750:69.68;0201ReflectiveIntensity:13281.43;0201ReflectiveIntensityStdDev:731.218;0201SealTimeEstimate:21.6;2001_DecodingIntensityStdDev_577F1:109.277;2001_DecodingIntensityStdDev_577F2:227.382;2001_MeanDecodingIntensity_577F1:600.95;2001_MeanDecodingIntensity_577F2:814.76;2001AEB:-;2001DecodingIntensityStdDev:297.027;2001DecodingIntensityStdDev_488:140.290;2001DecodingIntensityStdDev_647:23.952;2001DecodingIntensityStdDev_700:10.033;2001DecodingIntensityStdDev_750:297.027;2001F_on:0.9948;2001FillPercent:008.20;2001KineticInconsistentLower:0;2001KineticInconsistentMetadata:-518.704692484678|2.27;2001MeanDecodingIntensity:1025.20;2001MeanDecodingIntensity_488:177.39;2001MeanDecodingIntensity_647:42.36;2001MeanDecodingIntensity_700:35.92;2001MeanDecodingIntensity_750:1025.20;2001ReflectiveIntensity:13194.51;2001ReflectiveIntensityStdDev:686.117;2001SealTimeEstimate:21.6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11.49;Empties488F1MeanIntensity:70.65;Empties577F1IntensityStdDev:19.67;Empties577F1MeanIntensity:377.62;Empties577F2IntensityStdDev:25.70;Empties577F2MeanIntensity:378.59;Empties647F1IntensityStdDev:4.25;Empties647F1MeanIntensity:31.47;Empties700F1IntensityStdDev:4.22;Empties700F1MeanIntensity:29.43;Empties750F1IntensityStdDev:5.16;Empties750F1MeanIntensity:33.74;EmptiesIGrowth:153.26;EmptiesReflectiveIntensityStdDev:344.71;EmptiesReflectiveMeanIntensity:11685.21;Errors:;F2minusF1Shift:-1.0;FittedF2OverF1Intercept:-706.399679543415;FittedF2OverF1Slope:2.26071697051666;FluorescenceClassification:Normal;Focus_FracImageLost:0.00;FocusScoresAvg:3.68;FocusScoresImageCenter:3.99;FocusScoresMax:5.36;FocusScoresMedian:3.66;FractionImageDebris:0.2015;FractionWellsDebris:0.2130;ImageQualityScoreIfUnpegged:1.00;IndexingWellsMissingFromFov:0;IndexingWellsTotalLostBothVisibleAndMissing:0;IndexingWellsVisibleInFovButRemoved:0;L1DR time (ms):26845;NetBeadFillRate:24.81;NormalizedFillPercentage:035.32;Notes:Xtalk: usable out of spec wv 577 sr 8 dir 5 value 0.036.;NumberDecSaturated:0;NumberEmpties:63369;NumberFlagged_DeadPixels:72.0000;NumberFlagged_Debris:41037.0000;NumberFlagged_MissingNeighbor:2486.0000;NumberFlagged_NeighborSaturated:30.0000;NumberFlagged_OddlyRecurrentClassification:25878.0000;NumberFlagged_OutOfBounds:3992.0000;NumberFlagged_SaturatedPixelResorufinTwo:06.0000;NumberFlagged_SaturationRemoverSuspiciousF1:03.0000;NumberInvalidWells:53212;NumberPositiveEmpties:126;NumberPositives:78679;NumberResSaturated:6;NumberSaturatedWithoutDebris:1;NumberValidUnclassified:41506.00;NumberValidWells:139478;OddlyAggregatedFlag:2;OddlyAggregatedLocations:;OddlyAggregatedWorst:0;OffsetW488:( 0, 0 );OffsetW577:( 0, 0 );OffsetW647:( 0, 0 );OffsetW700:( 0, 0 );OffsetW750:( 0, 0 );ResorufinUnsaturated:1;ResorufinUnsaturatedMutated:1;ResorufinUnsaturatedSuspiciousF1:3;ResorufinUnsaturaterNumberInFit:993;SaturatedDecodingWells:2;SuspiciousWells:25652;SuspiciousWellsFlagged:1;SuspiciousWellsLowerThreshold:6;Warnings:;WhiteLightChannelMedian:9733;XtalkSubregionsOutOfSpec:0</t>
  </si>
  <si>
    <t>spikein-high-1-4-6</t>
  </si>
  <si>
    <t>Plate 2 - Well F9</t>
  </si>
  <si>
    <t>0002_DecodingIntensityStdDev_577F1:69.929;0002_DecodingIntensityStdDev_577F2:182.777;0002_MeanDecodingIntensity_577F1:455.71;0002_MeanDecodingIntensity_577F2:542.21;0002AEB:00.6990;0002DecodingIntensityStdDev:370.396;0002DecodingIntensityStdDev_488:370.396;0002DecodingIntensityStdDev_647:5.254;0002DecodingIntensityStdDev_700:5.271;0002DecodingIntensityStdDev_750:7.038;0002F_on:0.5029;0002FillPercent:016.76;0002KineticInconsistentLower:0;0002KineticInconsistentMetadata:-753.396807463118|2.91;0002MeanDecodingIntensity:1611.66;0002MeanDecodingIntensity_488:1611.66;0002MeanDecodingIntensity_647:35.17;0002MeanDecodingIntensity_700:30.82;0002MeanDecodingIntensity_750:36.22;0002ReflectiveIntensity:13188.06;0002ReflectiveIntensityStdDev:660.663;0002SealTimeEstimate:14.2;0021_DecodingIntensityStdDev_577F1:41.496;0021_DecodingIntensityStdDev_577F2:101.482;0021_MeanDecodingIntensity_577F1:434.22;0021_MeanDecodingIntensity_577F2:492.92;0021AEB:00.2168;0021DecodingIntensityStdDev:87.124;0021DecodingIntensityStdDev_488:25.931;0021DecodingIntensityStdDev_647:87.124;0021DecodingIntensityStdDev_700:10.533;0021DecodingIntensityStdDev_750:7.606;0021F_on:0.1949;0021FillPercent:010.18;0021KineticInconsistentLower:0;0021KineticInconsistentMetadata:-599.713617491248|2.59;0021MeanDecodingIntensity:417.61;0021MeanDecodingIntensity_488:146.44;0021MeanDecodingIntensity_647:417.61;0021MeanDecodingIntensity_700:69.02;0021MeanDecodingIntensity_750:36.61;0021ReflectiveIntensity:12926.00;0021ReflectiveIntensityStdDev:544.340;0021SealTimeEstimate:17.1;0201_DecodingIntensityStdDev_577F1:42.326;0201_DecodingIntensityStdDev_577F2:100.597;0201_MeanDecodingIntensity_577F1:434.80;0201_MeanDecodingIntensity_577F2:492.81;0201AEB:00.2815;0201DecodingIntensityStdDev:134.964;0201DecodingIntensityStdDev_488:33.973;0201DecodingIntensityStdDev_647:32.233;0201DecodingIntensityStdDev_700:134.964;0201DecodingIntensityStdDev_750:13.737;0201F_on:0.2453;0201FillPercent:012.00;0201KineticInconsistentLower:0;0201KineticInconsistentMetadata:-540.573587775283|2.45;0201MeanDecodingIntensity:505.28;0201MeanDecodingIntensity_488:151.16;0201MeanDecodingIntensity_647:101.82;0201MeanDecodingIntensity_700:505.28;0201MeanDecodingIntensity_750:66.73;0201ReflectiveIntensity:13029.37;0201ReflectiveIntensityStdDev:625.570;0201SealTimeEstimate:18.8;2001_DecodingIntensityStdDev_577F1:46.930;2001_DecodingIntensityStdDev_577F2:109.204;2001_MeanDecodingIntensity_577F1:463.91;2001_MeanDecodingIntensity_577F2:521.55;2001AEB:00.2644;2001DecodingIntensityStdDev:256.851;2001DecodingIntensityStdDev_488:39.806;2001DecodingIntensityStdDev_647:7.554;2001DecodingIntensityStdDev_700:6.935;2001DecodingIntensityStdDev_750:256.851;2001F_on:0.2323;2001FillPercent:011.51;2001KineticInconsistentLower:0;2001KineticInconsistentMetadata:-554.452020308409|2.4;2001MeanDecodingIntensity:949.89;2001MeanDecodingIntensity_488:150.99;2001MeanDecodingIntensity_647:38.56;2001MeanDecodingIntensity_700:35.14;2001MeanDecodingIntensity_750:949.89;2001ReflectiveIntensity:13002.17;2001ReflectiveIntensityStdDev:603.099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14.16;Empties488F1MeanIntensity:75.54;Empties577F1IntensityStdDev:24.88;Empties577F1MeanIntensity:380.34;Empties577F2IntensityStdDev:57.78;Empties577F2MeanIntensity:380.26;Empties647F1IntensityStdDev:4.64;Empties647F1MeanIntensity:31.72;Empties700F1IntensityStdDev:4.65;Empties700F1MeanIntensity:29.84;Empties750F1IntensityStdDev:5.88;Empties750F1MeanIntensity:34.45;EmptiesIGrowth:340.09;EmptiesReflectiveIntensityStdDev:363.52;EmptiesReflectiveMeanIntensity:11668.07;Errors:;F2minusF1Shift:-9.9;FluorescenceClassification:Normal;Focus_FracImageLost:0.00;FocusScoresAvg:3.81;FocusScoresImageCenter:4.22;FocusScoresMax:5.43;FocusScoresMedian:3.76;FractionImageDebris:0.1033;FractionWellsDebris:0.1177;ImageQualityScoreIfUnpegged:1.00;IndexingWellsMissingFromFov:0;IndexingWellsTotalLostBothVisibleAndMissing:0;IndexingWellsVisibleInFovButRemoved:0;L1DR time (ms):25052;NetBeadFillRate:35.38;NormalizedFillPercentage:050.45;Notes:Xtalk: usable out of spec wv 577 sr 4 dir 5 value 0.038. | Xtalk: usable out of spec wv 577 sr 8 dir 5 value 0.038.;NumberDecSaturated:0;NumberEmpties:47395;NumberFlagged_DeadPixels:68.0000;NumberFlagged_Debris:22659.0000;NumberFlagged_MissingNeighbor:3065.0000;NumberFlagged_NeighborSaturated:01.0000;NumberFlagged_OddlyRecurrentClassification:42590.0000;NumberFlagged_OutOfBounds:4058.0000;NumberFlagged_SaturatedPixelResorufinTwo:01.0000;NumberInvalidWells:56174;NumberPositiveEmpties:212;NumberPositives:58671;NumberResSaturated:1;NumberSaturatedWithoutDebris:1;NumberValidUnclassified:40737.00;NumberValidWells:136384;OddlyAggregatedFlag:2;OddlyAggregatedLocations:;OddlyAggregatedWorst:0;OffsetW488:( 0, 0 );OffsetW577:( 0, 0 );OffsetW647:( 0, 0 );OffsetW700:( 0, 0 );OffsetW750:( 0, 0 );ResorufinUnsaturated:0;ResorufinUnsaturatedMutated:0;ResorufinUnsaturaterNumberInFit:116;SaturatedDecodingWells:0;SuspiciousWells:19495;SuspiciousWellsFlagged:1;SuspiciousWellsLowerThreshold:7;Warnings:;WhiteLightChannelMedian:9834;XtalkSubregionsOutOfSpec:0</t>
  </si>
  <si>
    <t>0002_DecodingIntensityStdDev_577F1:100.286;0002_DecodingIntensityStdDev_577F2:212.663;0002_MeanDecodingIntensity_577F1:470.19;0002_MeanDecodingIntensity_577F2:553.32;0002AEB:00.6191;0002DecodingIntensityStdDev:363.801;0002DecodingIntensityStdDev_488:363.801;0002DecodingIntensityStdDev_647:4.984;0002DecodingIntensityStdDev_700:4.628;0002DecodingIntensityStdDev_750:5.882;0002F_on:0.4616;0002FillPercent:012.85;0002KineticInconsistentLower:0;0002KineticInconsistentMetadata:-523.914917021365|2.34;0002MeanDecodingIntensity:1654.61;0002MeanDecodingIntensity_488:1654.61;0002MeanDecodingIntensity_647:35.10;0002MeanDecodingIntensity_700:30.26;0002MeanDecodingIntensity_750:35.04;0002ReflectiveIntensity:13016.00;0002ReflectiveIntensityStdDev:630.985;0002SealTimeEstimate:20.4;0021_DecodingIntensityStdDev_577F1:51.143;0021_DecodingIntensityStdDev_577F2:102.289;0021_MeanDecodingIntensity_577F1:441.19;0021_MeanDecodingIntensity_577F2:495.71;0021AEB:00.3870;0021DecodingIntensityStdDev:82.687;0021DecodingIntensityStdDev_488:21.438;0021DecodingIntensityStdDev_647:82.687;0021DecodingIntensityStdDev_700:9.738;0021DecodingIntensityStdDev_750:5.997;0021F_on:0.3209;0021FillPercent:007.84;0021KineticInconsistentLower:0;0021KineticInconsistentMetadata:-391.05538566065|2.06;0021MeanDecodingIntensity:423.63;0021MeanDecodingIntensity_488:143.45;0021MeanDecodingIntensity_647:423.63;0021MeanDecodingIntensity_700:69.71;0021MeanDecodingIntensity_750:34.93;0021ReflectiveIntensity:12782.64;0021ReflectiveIntensityStdDev:538.247;0021SealTimeEstimate:26.1;0201_DecodingIntensityStdDev_577F1:58.408;0201_DecodingIntensityStdDev_577F2:118.310;0201_MeanDecodingIntensity_577F1:439.94;0201_MeanDecodingIntensity_577F2:493.36;0201AEB:00.4645;0201DecodingIntensityStdDev:107.315;0201DecodingIntensityStdDev_488:23.628;0201DecodingIntensityStdDev_647:15.205;0201DecodingIntensityStdDev_700:107.315;0201DecodingIntensityStdDev_750:10.488;0201F_on:0.3715;0201FillPercent:008.96;0201KineticInconsistentLower:0;0201KineticInconsistentMetadata:-382.644467927334|2.04;0201MeanDecodingIntensity:512.85;0201MeanDecodingIntensity_488:144.96;0201MeanDecodingIntensity_647:97.36;0201MeanDecodingIntensity_700:512.85;0201MeanDecodingIntensity_750:65.14;0201ReflectiveIntensity:12819.74;0201ReflectiveIntensityStdDev:546.890;0201SealTimeEstimate:26.7;2001_DecodingIntensityStdDev_577F1:63.418;2001_DecodingIntensityStdDev_577F2:125.998;2001_MeanDecodingIntensity_577F1:470.30;2001_MeanDecodingIntensity_577F2:522.68;2001AEB:00.4070;2001DecodingIntensityStdDev:210.636;2001DecodingIntensityStdDev_488:23.553;2001DecodingIntensityStdDev_647:5.255;2001DecodingIntensityStdDev_700:5.326;2001DecodingIntensityStdDev_750:210.636;2001F_on:0.3343;2001FillPercent:008.61;2001KineticInconsistentLower:0;2001KineticInconsistentMetadata:-388.955410729686|1.99;2001MeanDecodingIntensity:979.56;2001MeanDecodingIntensity_488:145.16;2001MeanDecodingIntensity_647:38.19;2001MeanDecodingIntensity_700:34.39;2001MeanDecodingIntensity_750:979.56;2001ReflectiveIntensity:12825.81;2001ReflectiveIntensityStdDev:559.103;2001SealTimeEstimate:28.1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11.93;Empties488F1MeanIntensity:73.12;Empties577F1IntensityStdDev:32.64;Empties577F1MeanIntensity:372.81;Empties577F2IntensityStdDev:58.83;Empties577F2MeanIntensity:372.56;Empties647F1IntensityStdDev:4.34;Empties647F1MeanIntensity:31.76;Empties700F1IntensityStdDev:4.20;Empties700F1MeanIntensity:29.54;Empties750F1IntensityStdDev:5.10;Empties750F1MeanIntensity:33.90;EmptiesIGrowth:364.88;EmptiesReflectiveIntensityStdDev:354.96;EmptiesReflectiveMeanIntensity:11543.63;Errors:;F2minusF1Shift:-3.4;FittedF2OverF1Intercept:-388.52526157153;FittedF2OverF1Slope:1.99915072458152;FluorescenceClassification:Normal;Focus_FracImageLost:0.00;FocusScoresAvg:3.43;FocusScoresImageCenter:3.75;FocusScoresMax:4.58;FocusScoresMedian:3.43;FractionImageDebris:0.0694;FractionWellsDebris:0.0626;ImageQualityScoreIfUnpegged:1.00;IndexingWellsMissingFromFov:2474;IndexingWellsTotalLostBothVisibleAndMissing:3728;IndexingWellsVisibleInFovButRemoved:1254;L1DR time (ms):29059;NetBeadFillRate:26.87;NormalizedFillPercentage:038.26;Notes:Indexing: stripe across bottom | Xtalk: usable out of spec wv 577 sr 8 dir 5 value 0.036.;NumberDecSaturated:0;NumberEmpties:75243;NumberFlagged_DeadPixels:71.0000;NumberFlagged_Debris:11842.0000;NumberFlagged_MissingNeighbor:2710.0000;NumberFlagged_OddlyRecurrentClassification:1787.0000;NumberFlagged_OutOfBounds:3129.0000;NumberInvalidWells:15700;NumberPositiveEmpties:185;NumberPositives:37704;NumberResSaturated:0;NumberSaturatedWithoutDebris:0;NumberValidUnclassified:51650.00;NumberValidWells:173518;OddlyAggregatedFlag:2;OddlyAggregatedLocations:;OddlyAggregatedWorst:0;OffsetW488:( 0, 0 );OffsetW577:( 0, 0 );OffsetW647:( 0, 1 );OffsetW700:( 0, 0 );OffsetW750:( 0, 0 );ResorufinUnsaturated:1;ResorufinUnsaturatedMutated:0;ResorufinUnsaturatedSuspiciousF1:0;ResorufinUnsaturaterNumberInFit:278;SaturatedDecodingWells:0;SuspiciousWells:25125;SuspiciousWellsFlagged:1;SuspiciousWellsLowerThreshold:4;Warnings:;WhiteLightChannelMedian:9632;XtalkSubregionsOutOfSpec:0</t>
  </si>
  <si>
    <t>0002_DecodingIntensityStdDev_577F1:92.323;0002_DecodingIntensityStdDev_577F2:211.540;0002_MeanDecodingIntensity_577F1:455.51;0002_MeanDecodingIntensity_577F2:538.79;0002AEB:00.5765;0002DecodingIntensityStdDev:371.860;0002DecodingIntensityStdDev_488:371.860;0002DecodingIntensityStdDev_647:5.309;0002DecodingIntensityStdDev_700:5.237;0002DecodingIntensityStdDev_750:6.793;0002F_on:0.4382;0002FillPercent:015.58;0002KineticInconsistentLower:0;0002KineticInconsistentMetadata:-594.558076748039|2.54;0002MeanDecodingIntensity:1563.58;0002MeanDecodingIntensity_488:1563.58;0002MeanDecodingIntensity_647:35.21;0002MeanDecodingIntensity_700:30.79;0002MeanDecodingIntensity_750:35.98;0002ReflectiveIntensity:13047.67;0002ReflectiveIntensityStdDev:641.322;0002SealTimeEstimate:17.7;0021_DecodingIntensityStdDev_577F1:52.663;0021_DecodingIntensityStdDev_577F2:116.000;0021_MeanDecodingIntensity_577F1:428.91;0021_MeanDecodingIntensity_577F2:482.22;0021AEB:00.4219;0021DecodingIntensityStdDev:87.983;0021DecodingIntensityStdDev_488:24.583;0021DecodingIntensityStdDev_647:87.983;0021DecodingIntensityStdDev_700:10.473;0021DecodingIntensityStdDev_750:7.226;0021F_on:0.3442;0021FillPercent:009.55;0021KineticInconsistentLower:0;0021KineticInconsistentMetadata:-442.220720065005|2.21;0021MeanDecodingIntensity:412.66;0021MeanDecodingIntensity_488:144.58;0021MeanDecodingIntensity_647:412.66;0021MeanDecodingIntensity_700:68.59;0021MeanDecodingIntensity_750:36.07;0021ReflectiveIntensity:12809.19;0021ReflectiveIntensityStdDev:532.884;0021SealTimeEstimate:22.7;0201_DecodingIntensityStdDev_577F1:62.389;0201_DecodingIntensityStdDev_577F2:136.256;0201_MeanDecodingIntensity_577F1:430.30;0201_MeanDecodingIntensity_577F2:484.18;0201AEB:00.2198;0201DecodingIntensityStdDev:129.811;0201DecodingIntensityStdDev_488:33.576;0201DecodingIntensityStdDev_647:30.183;0201DecodingIntensityStdDev_700:129.811;0201DecodingIntensityStdDev_750:13.217;0201F_on:0.1973;0201FillPercent:011.40;0201KineticInconsistentLower:0;0201KineticInconsistentMetadata:-468.406992554586|2.27;0201MeanDecodingIntensity:495.33;0201MeanDecodingIntensity_488:148.97;0201MeanDecodingIntensity_647:99.81;0201MeanDecodingIntensity_700:495.33;0201MeanDecodingIntensity_750:65.99;0201ReflectiveIntensity:12896.80;0201ReflectiveIntensityStdDev:604.052;0201SealTimeEstimate:21.6;2001_DecodingIntensityStdDev_577F1:61.462;2001_DecodingIntensityStdDev_577F2:130.631;2001_MeanDecodingIntensity_577F1:459.20;2001_MeanDecodingIntensity_577F2:511.92;2001AEB:00.3397;2001DecodingIntensityStdDev:249.861;2001DecodingIntensityStdDev_488:34.460;2001DecodingIntensityStdDev_647:7.296;2001DecodingIntensityStdDev_700:6.822;2001DecodingIntensityStdDev_750:249.861;2001F_on:0.2881;2001FillPercent:010.79;2001KineticInconsistentLower:0;2001KineticInconsistentMetadata:-437.314080104868|2.13;2001MeanDecodingIntensity:949.64;2001MeanDecodingIntensity_488:148.35;2001MeanDecodingIntensity_647:38.65;2001MeanDecodingIntensity_700:35.19;2001MeanDecodingIntensity_750:949.64;2001ReflectiveIntensity:12891.13;2001ReflectiveIntensityStdDev:599.793;2001SealTimeEstimate:24.4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13.99;Empties488F1MeanIntensity:75.97;Empties577F1IntensityStdDev:43.27;Empties577F1MeanIntensity:370.90;Empties577F2IntensityStdDev:92.95;Empties577F2MeanIntensity:373.12;Empties647F1IntensityStdDev:4.72;Empties647F1MeanIntensity:31.95;Empties700F1IntensityStdDev:4.71;Empties700F1MeanIntensity:29.93;Empties750F1IntensityStdDev:5.80;Empties750F1MeanIntensity:34.40;EmptiesIGrowth:520.19;EmptiesReflectiveIntensityStdDev:350.72;EmptiesReflectiveMeanIntensity:11581.95;Errors:;F2minusF1Shift:-7.7;FittedF2OverF1Intercept:-451.623573096686;FittedF2OverF1Slope:2.18909734724984;FluorescenceClassification:Normal;Focus_FracImageLost:0.00;FocusScoresAvg:3.49;FocusScoresImageCenter:3.80;FocusScoresMax:5.11;FocusScoresMedian:3.42;FractionImageDebris:0.1886;FractionWellsDebris:0.1817;ImageQualityScoreIfUnpegged:1.00;IndexingWellsMissingFromFov:2279;IndexingWellsTotalLostBothVisibleAndMissing:3728;IndexingWellsVisibleInFovButRemoved:1449;L1DR time (ms):25629;NetBeadFillRate:33.19;NormalizedFillPercentage:047.32;Notes:Indexing: stripe across bottom | Xtalk: usable out of spec wv 577 sr 4 dir 5 value 0.041. | Xtalk: usable out of spec wv 577 sr 8 dir 5 value 0.043.;NumberDecSaturated:0;NumberEmpties:53140;NumberFlagged_DeadPixels:75.0000;NumberFlagged_Debris:34352.0000;NumberFlagged_MissingNeighbor:2965.0000;NumberFlagged_OddlyRecurrentClassification:22447.0000;NumberFlagged_OutOfBounds:3131.0000;NumberInvalidWells:45259;NumberPositiveEmpties:233;NumberPositives:50860;NumberResSaturated:0;NumberSaturatedWithoutDebris:0;NumberValidUnclassified:42959.00;NumberValidWells:143836;OddlyAggregatedFlag:2;OddlyAggregatedLocations:;OddlyAggregatedWorst:0;OffsetW488:( 0, 0 );OffsetW577:( 0, 0 );OffsetW647:( 0, 1 );OffsetW700:( 0, 0 );OffsetW750:( 0, 0 );ResorufinUnsaturated:1;ResorufinUnsaturatedMutated:3;ResorufinUnsaturatedSuspiciousF1:0;ResorufinUnsaturaterNumberInFit:278;SaturatedDecodingWells:1;SuspiciousWells:23505;SuspiciousWellsFlagged:1;SuspiciousWellsLowerThreshold:6;Warnings:;WhiteLightChannelMedian:9814;XtalkSubregionsOutOfSpec:0</t>
  </si>
  <si>
    <t>spikein-high-1-8-1</t>
  </si>
  <si>
    <t>Plate 2 - Well A11</t>
  </si>
  <si>
    <t>0002_DecodingIntensityStdDev_577F1:89.401;0002_DecodingIntensityStdDev_577F2:196.498;0002_MeanDecodingIntensity_577F1:431.50;0002_MeanDecodingIntensity_577F2:478.70;0002AEB:00.2221;0002DecodingIntensityStdDev:346.488;0002DecodingIntensityStdDev_488:346.488;0002DecodingIntensityStdDev_647:4.857;0002DecodingIntensityStdDev_700:4.783;0002DecodingIntensityStdDev_750:6.017;0002F_on:0.1992;0002FillPercent:013.40;0002KineticInconsistentLower:0;0002KineticInconsistentMetadata:-526.643508505594|2.4;0002MeanDecodingIntensity:1567.62;0002MeanDecodingIntensity_488:1567.62;0002MeanDecodingIntensity_647:34.83;0002MeanDecodingIntensity_700:30.31;0002MeanDecodingIntensity_750:35.07;0002ReflectiveIntensity:12886.48;0002ReflectiveIntensityStdDev:598.421;0002SealTimeEstimate:19.5;0021_DecodingIntensityStdDev_577F1:32.409;0021_DecodingIntensityStdDev_577F2:60.711;0021_MeanDecodingIntensity_577F1:395.81;0021_MeanDecodingIntensity_577F2:402.44;0021AEB:00.0149;0021DecodingIntensityStdDev:82.544;0021DecodingIntensityStdDev_488:20.872;0021DecodingIntensityStdDev_647:82.544;0021DecodingIntensityStdDev_700:9.602;0021DecodingIntensityStdDev_750:6.206;0021F_on:0.0148;0021FillPercent:008.11;0021KineticInconsistentLower:0;0021KineticInconsistentMetadata:-528.939032921136|2.39;0021MeanDecodingIntensity:416.29;0021MeanDecodingIntensity_488:140.88;0021MeanDecodingIntensity_647:416.29;0021MeanDecodingIntensity_700:68.57;0021MeanDecodingIntensity_750:35.15;0021ReflectiveIntensity:12656.69;0021ReflectiveIntensityStdDev:505.307;0021SealTimeEstimate:19.7;0201_DecodingIntensityStdDev_577F1:31.903;0201_DecodingIntensityStdDev_577F2:57.571;0201_MeanDecodingIntensity_577F1:395.25;0201_MeanDecodingIntensity_577F2:401.99;0201AEB:00.0164;0201DecodingIntensityStdDev:111.580;0201DecodingIntensityStdDev_488:24.201;0201DecodingIntensityStdDev_647:16.677;0201DecodingIntensityStdDev_700:111.580;0201DecodingIntensityStdDev_750:10.676;0201F_on:0.0163;0201FillPercent:009.35;0201KineticInconsistentLower:0;0201KineticInconsistentMetadata:-523.055644576189|2.38;0201MeanDecodingIntensity:498.98;0201MeanDecodingIntensity_488:143.20;0201MeanDecodingIntensity_647:96.86;0201MeanDecodingIntensity_700:498.98;0201MeanDecodingIntensity_750:64.80;0201ReflectiveIntensity:12700.69;0201ReflectiveIntensityStdDev:531.308;0201SealTimeEstimate:19.8;2001_DecodingIntensityStdDev_577F1:38.600;2001_DecodingIntensityStdDev_577F2:71.216;2001_MeanDecodingIntensity_577F1:426.66;2001_MeanDecodingIntensity_577F2:434.62;2001AEB:00.0198;2001DecodingIntensityStdDev:219.308;2001DecodingIntensityStdDev_488:24.467;2001DecodingIntensityStdDev_647:5.569;2001DecodingIntensityStdDev_700:5.435;2001DecodingIntensityStdDev_750:219.308;2001F_on:0.0196;2001FillPercent:008.83;2001KineticInconsistentLower:0;2001KineticInconsistentMetadata:-531.57307654531|2.35;2001MeanDecodingIntensity:965.07;2001MeanDecodingIntensity_488:142.84;2001MeanDecodingIntensity_647:37.87;2001MeanDecodingIntensity_700:34.25;2001MeanDecodingIntensity_750:965.07;2001ReflectiveIntensity:12699.35;2001ReflectiveIntensityStdDev:549.341;2001SealTimeEstimate:20.3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11.83;Empties488F1MeanIntensity:72.54;Empties577F1IntensityStdDev:19.06;Empties577F1MeanIntensity:367.10;Empties577F2IntensityStdDev:24.95;Empties577F2MeanIntensity:366.16;Empties647F1IntensityStdDev:4.36;Empties647F1MeanIntensity:31.75;Empties700F1IntensityStdDev:4.30;Empties700F1MeanIntensity:29.60;Empties750F1IntensityStdDev:5.22;Empties750F1MeanIntensity:34.06;EmptiesIGrowth:410.56;EmptiesReflectiveIntensityStdDev:312.13;EmptiesReflectiveMeanIntensity:11460.07;Errors:;F2minusF1Shift:-0.9;FluorescenceClassification:Normal;Focus_FracImageLost:0.00;FocusScoresAvg:3.19;FocusScoresImageCenter:3.94;FocusScoresMax:4.53;FocusScoresMedian:3.16;FractionImageDebris:0.1006;FractionWellsDebris:0.1083;ImageQualityScoreIfUnpegged:0.60;IndexingWellsMissingFromFov:0;IndexingWellsTotalLostBothVisibleAndMissing:0;IndexingWellsVisibleInFovButRemoved:0;L1DR time (ms):25008;NetBeadFillRate:27.87;NormalizedFillPercentage:039.69;Notes:Xtalk: usable out of spec wv 577 sr 4 dir 5 value 0.041. | Xtalk: usable out of spec wv 488 sr 4 dir 5 value 0.036.;NumberDecSaturated:0;NumberEmpties:64916;NumberFlagged_DeadPixels:78.0000;NumberFlagged_Debris:20884.0000;NumberFlagged_MissingNeighbor:2584.0000;NumberFlagged_NeighborSaturated:06.0000;NumberFlagged_OddlyRecurrentClassification:167.0000;NumberFlagged_OutOfBounds:4071.0000;NumberFlagged_OutOfSpecXtalk:15904.0000;NumberFlagged_SaturatedPixelResorufinTwo:01.0000;NumberInvalidWells:39594;NumberPositiveEmpties:26;NumberPositives:7851;NumberResSaturated:1;NumberSaturatedWithoutDebris:1;NumberValidUnclassified:45642.00;NumberValidWells:153272;OddlyAggregatedFlag:2;OddlyAggregatedLocations:;OddlyAggregatedWorst:0;OffsetW488:( 0, 0 );OffsetW577:( 0, 0 );OffsetW647:( 0, 1 );OffsetW700:( 0, 0 );OffsetW750:( 0, 0 );ResorufinUnsaturated:0;ResorufinUnsaturatedMutated:0;ResorufinUnsaturaterNumberInFit:70;SaturatedDecodingWells:0;SuspiciousWells:17516;SuspiciousWellsFlagged:1;SuspiciousWellsLowerThreshold:5;Warnings:Xtalk: unusable out of spec wv 577 sr 8 dir 5 value 0.050.;WhiteLightChannelMedian:9711;XtalkSubregionsOutOfSpec:1</t>
  </si>
  <si>
    <t>0002_DecodingIntensityStdDev_577F1:75.835;0002_DecodingIntensityStdDev_577F2:178.916;0002_MeanDecodingIntensity_577F1:424.11;0002_MeanDecodingIntensity_577F2:466.07;0002AEB:00.1988;0002DecodingIntensityStdDev:388.601;0002DecodingIntensityStdDev_488:388.601;0002DecodingIntensityStdDev_647:5.352;0002DecodingIntensityStdDev_700:5.276;0002DecodingIntensityStdDev_750:7.034;0002F_on:0.1803;0002FillPercent:016.10;0002KineticInconsistentLower:0;0002KineticInconsistentMetadata:-589.234904440027|2.57;0002MeanDecodingIntensity:1598.45;0002MeanDecodingIntensity_488:1598.45;0002MeanDecodingIntensity_647:35.11;0002MeanDecodingIntensity_700:30.84;0002MeanDecodingIntensity_750:36.03;0002ReflectiveIntensity:13107.12;0002ReflectiveIntensityStdDev:637.985;0002SealTimeEstimate:17.3;0021_DecodingIntensityStdDev_577F1:39.328;0021_DecodingIntensityStdDev_577F2:83.499;0021_MeanDecodingIntensity_577F1:395.71;0021_MeanDecodingIntensity_577F2:402.25;0021AEB:00.0152;0021DecodingIntensityStdDev:93.526;0021DecodingIntensityStdDev_488:25.510;0021DecodingIntensityStdDev_647:93.526;0021DecodingIntensityStdDev_700:11.314;0021DecodingIntensityStdDev_750:7.360;0021F_on:0.0151;0021FillPercent:009.96;0021KineticInconsistentLower:0;0021KineticInconsistentMetadata:-625.533141851338|2.65;0021MeanDecodingIntensity:423.05;0021MeanDecodingIntensity_488:146.22;0021MeanDecodingIntensity_647:423.05;0021MeanDecodingIntensity_700:69.89;0021MeanDecodingIntensity_750:36.26;0021ReflectiveIntensity:12887.81;0021ReflectiveIntensityStdDev:539.098;0021SealTimeEstimate:16.5;0201_DecodingIntensityStdDev_577F1:37.634;0201_DecodingIntensityStdDev_577F2:75.076;0201_MeanDecodingIntensity_577F1:397.15;0201_MeanDecodingIntensity_577F2:404.72;0201AEB:00.0184;0201DecodingIntensityStdDev:139.434;0201DecodingIntensityStdDev_488:46.441;0201DecodingIntensityStdDev_647:41.952;0201DecodingIntensityStdDev_700:139.434;0201DecodingIntensityStdDev_750:16.575;0201F_on:0.0182;0201FillPercent:011.78;0201KineticInconsistentLower:0;0201KineticInconsistentMetadata:-614.82841232535|2.62;0201MeanDecodingIntensity:511.74;0201MeanDecodingIntensity_488:152.27;0201MeanDecodingIntensity_647:103.17;0201MeanDecodingIntensity_700:511.74;0201MeanDecodingIntensity_750:66.88;0201ReflectiveIntensity:12972.66;0201ReflectiveIntensityStdDev:607.979;0201SealTimeEstimate:16.8;2001_DecodingIntensityStdDev_577F1:37.274;2001_DecodingIntensityStdDev_577F2:68.003;2001_MeanDecodingIntensity_577F1:426.77;2001_MeanDecodingIntensity_577F2:433.81;2001AEB:00.0192;2001DecodingIntensityStdDev:258.018;2001DecodingIntensityStdDev_488:59.818;2001DecodingIntensityStdDev_647:10.073;2001DecodingIntensityStdDev_700:7.507;2001DecodingIntensityStdDev_750:258.018;2001F_on:0.0190;2001FillPercent:011.11;2001KineticInconsistentLower:0;2001KineticInconsistentMetadata:-705.82660009266|2.7;2001MeanDecodingIntensity:969.79;2001MeanDecodingIntensity_488:152.76;2001MeanDecodingIntensity_647:38.95;2001MeanDecodingIntensity_700:35.23;2001MeanDecodingIntensity_750:969.79;2001ReflectiveIntensity:12942.46;2001ReflectiveIntensityStdDev:599.538;2001SealTimeEstimate:16.0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13.48;Empties488F1MeanIntensity:74.38;Empties577F1IntensityStdDev:20.73;Empties577F1MeanIntensity:366.80;Empties577F2IntensityStdDev:30.43;Empties577F2MeanIntensity:365.68;Empties647F1IntensityStdDev:4.66;Empties647F1MeanIntensity:31.86;Empties700F1IntensityStdDev:4.62;Empties700F1MeanIntensity:29.80;Empties750F1IntensityStdDev:5.82;Empties750F1MeanIntensity:34.55;EmptiesIGrowth:406.94;EmptiesReflectiveIntensityStdDev:324.64;EmptiesReflectiveMeanIntensity:11616.88;Errors:;F2minusF1Shift:-1.5;FluorescenceClassification:Normal;Focus_FracImageLost:0.00;FocusScoresAvg:3.41;FocusScoresImageCenter:3.94;FocusScoresMax:5.15;FocusScoresMedian:3.39;FractionImageDebris:0.0538;FractionWellsDebris:0.0620;ImageQualityScoreIfUnpegged:1.00;IndexingWellsMissingFromFov:0;IndexingWellsTotalLostBothVisibleAndMissing:0;IndexingWellsVisibleInFovButRemoved:0;L1DR time (ms):27640;NetBeadFillRate:34.34;NormalizedFillPercentage:048.95;Notes:Xtalk: usable out of spec wv 577 sr 4 dir 5 value 0.043. | Xtalk: usable out of spec wv 577 sr 8 dir 5 value 0.048.;NumberDecSaturated:3;NumberEmpties:63281;NumberFlagged_DeadPixels:70.0000;NumberFlagged_Debris:11955.0000;NumberFlagged_MissingNeighbor:2636.0000;NumberFlagged_NeighborSaturated:18.0000;NumberFlagged_OutOfBounds:4036.0000;NumberFlagged_SaturatedPixelDecodingFour:03.0000;NumberInvalidWells:16113;NumberPositiveEmpties:57;NumberPositives:8991;NumberResSaturated:0;NumberSaturatedWithoutDebris:2;NumberValidUnclassified:52738.00;NumberValidWells:176705;OddlyAggregatedFlag:2;OddlyAggregatedLocations:;OddlyAggregatedWorst:0;OffsetW488:( 0, 0 );OffsetW577:( 0, 0 );OffsetW647:( 0, 1 );OffsetW700:( 0, 0 );OffsetW750:( 0, 0 );ResorufinUnsaturated:0;ResorufinUnsaturatedMutated:0;ResorufinUnsaturaterNumberInFit:61;SaturatedDecodingWells:2;SuspiciousWells:20867;SuspiciousWellsFlagged:1;SuspiciousWellsLowerThreshold:6;Warnings:;WhiteLightChannelMedian:9947;XtalkSubregionsOutOfSpec:0</t>
  </si>
  <si>
    <t>0002_DecodingIntensityStdDev_577F1:81.412;0002_DecodingIntensityStdDev_577F2:176.366;0002_MeanDecodingIntensity_577F1:416.52;0002_MeanDecodingIntensity_577F2:457.24;0002AEB:00.2086;0002DecodingIntensityStdDev:370.843;0002DecodingIntensityStdDev_488:370.843;0002DecodingIntensityStdDev_647:5.050;0002DecodingIntensityStdDev_700:5.003;0002DecodingIntensityStdDev_750:6.479;0002F_on:0.1883;0002FillPercent:014.82;0002KineticInconsistentLower:0;0002KineticInconsistentMetadata:-490.064631206804|2.35;0002MeanDecodingIntensity:1500.24;0002MeanDecodingIntensity_488:1500.24;0002MeanDecodingIntensity_647:34.57;0002MeanDecodingIntensity_700:30.43;0002MeanDecodingIntensity_750:35.15;0002ReflectiveIntensity:12884.33;0002ReflectiveIntensityStdDev:620.662;0002SealTimeEstimate:20.3;0021_DecodingIntensityStdDev_577F1:34.561;0021_DecodingIntensityStdDev_577F2:64.106;0021_MeanDecodingIntensity_577F1:385.45;0021_MeanDecodingIntensity_577F2:392.16;0021AEB:00.0187;0021DecodingIntensityStdDev:88.259;0021DecodingIntensityStdDev_488:23.382;0021DecodingIntensityStdDev_647:88.259;0021DecodingIntensityStdDev_700:10.268;0021DecodingIntensityStdDev_750:6.771;0021F_on:0.0185;0021FillPercent:008.90;0021KineticInconsistentLower:0;0021KineticInconsistentMetadata:-482.837394462826|2.35;0021MeanDecodingIntensity:404.68;0021MeanDecodingIntensity_488:135.32;0021MeanDecodingIntensity_647:404.68;0021MeanDecodingIntensity_700:67.23;0021MeanDecodingIntensity_750:35.39;0021ReflectiveIntensity:12651.58;0021ReflectiveIntensityStdDev:512.712;0021SealTimeEstimate:20.3;0201_DecodingIntensityStdDev_577F1:33.031;0201_DecodingIntensityStdDev_577F2:58.154;0201_MeanDecodingIntensity_577F1:385.05;0201_MeanDecodingIntensity_577F2:391.37;0201AEB:00.0177;0201DecodingIntensityStdDev:119.181;0201DecodingIntensityStdDev_488:27.095;0201DecodingIntensityStdDev_647:21.011;0201DecodingIntensityStdDev_700:119.181;0201DecodingIntensityStdDev_750:11.875;0201F_on:0.0175;0201FillPercent:010.29;0201KineticInconsistentLower:0;0201KineticInconsistentMetadata:-489.338435551584|2.36;0201MeanDecodingIntensity:480.30;0201MeanDecodingIntensity_488:137.70;0201MeanDecodingIntensity_647:96.04;0201MeanDecodingIntensity_700:480.30;0201MeanDecodingIntensity_750:64.46;0201ReflectiveIntensity:12710.04;0201ReflectiveIntensityStdDev:554.874;0201SealTimeEstimate:20.1;2001_DecodingIntensityStdDev_577F1:39.560;2001_DecodingIntensityStdDev_577F2:70.005;2001_MeanDecodingIntensity_577F1:415.32;2001_MeanDecodingIntensity_577F2:422.35;2001AEB:00.0212;2001DecodingIntensityStdDev:233.808;2001DecodingIntensityStdDev_488:25.924;2001DecodingIntensityStdDev_647:6.561;2001DecodingIntensityStdDev_700:5.779;2001DecodingIntensityStdDev_750:233.808;2001F_on:0.0209;2001FillPercent:009.83;2001KineticInconsistentLower:0;2001KineticInconsistentMetadata:-523.330826587778|2.36;2001MeanDecodingIntensity:936.68;2001MeanDecodingIntensity_488:137.04;2001MeanDecodingIntensity_647:37.73;2001MeanDecodingIntensity_700:34.37;2001MeanDecodingIntensity_750:936.68;2001ReflectiveIntensity:12694.50;2001ReflectiveIntensityStdDev:551.404;2001SealTimeEstimate:20.1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12.84;Empties488F1MeanIntensity:68.10;Empties577F1IntensityStdDev:20.39;Empties577F1MeanIntensity:356.44;Empties577F2IntensityStdDev:24.65;Empties577F2MeanIntensity:355.53;Empties647F1IntensityStdDev:4.58;Empties647F1MeanIntensity:31.53;Empties700F1IntensityStdDev:4.61;Empties700F1MeanIntensity:29.60;Empties750F1IntensityStdDev:5.62;Empties750F1MeanIntensity:34.00;EmptiesIGrowth:350.99;EmptiesReflectiveIntensityStdDev:298.53;EmptiesReflectiveMeanIntensity:11482.24;Errors:;F2minusF1Shift:-0.9;FluorescenceClassification:Normal;Focus_FracImageLost:0.00;FocusScoresAvg:3.20;FocusScoresImageCenter:4.37;FocusScoresMax:4.79;FocusScoresMedian:3.20;FractionImageDebris:0.0750;FractionWellsDebris:0.0803;ImageQualityScoreIfUnpegged:1.00;IndexingWellsMissingFromFov:0;IndexingWellsTotalLostBothVisibleAndMissing:0;IndexingWellsVisibleInFovButRemoved:0;L1DR time (ms):26595;NetBeadFillRate:30.76;NormalizedFillPercentage:043.84;Notes:Xtalk: usable out of spec wv 577 sr 4 dir 5 value 0.043. | Xtalk: usable out of spec wv 577 sr 8 dir 5 value 0.048. | Xtalk: usable out of spec wv 488 sr 4 dir 5 value 0.038.;NumberDecSaturated:0;NumberEmpties:68165;NumberFlagged_DeadPixels:77.0000;NumberFlagged_Debris:15461.0000;NumberFlagged_MissingNeighbor:3071.0000;NumberFlagged_OddlyRecurrentClassification:157.0000;NumberFlagged_OutOfBounds:4070.0000;NumberInvalidWells:19557;NumberPositiveEmpties:30;NumberPositives:8782;NumberResSaturated:0;NumberSaturatedWithoutDebris:0;NumberValidUnclassified:51619.00;NumberValidWells:172997;OddlyAggregatedFlag:2;OddlyAggregatedLocations:;OddlyAggregatedWorst:0;OffsetW488:( 0, 0 );OffsetW577:( 0, 0 );OffsetW647:( 0, 0 );OffsetW700:( 0, 0 );OffsetW750:( 0, 0 );ResorufinUnsaturated:0;ResorufinUnsaturatedMutated:0;ResorufinUnsaturaterNumberInFit:60;SaturatedDecodingWells:0;SuspiciousWells:19251;SuspiciousWellsFlagged:1;SuspiciousWellsLowerThreshold:5;Warnings:;WhiteLightChannelMedian:9769;XtalkSubregionsOutOfSpec:0</t>
  </si>
  <si>
    <t>spikein-high-1-8-2</t>
  </si>
  <si>
    <t>Plate 2 - Well B11</t>
  </si>
  <si>
    <t>0002_DecodingIntensityStdDev_577F1:70.994;0002_DecodingIntensityStdDev_577F2:171.334;0002_MeanDecodingIntensity_577F1:419.38;0002_MeanDecodingIntensity_577F2:463.75;0002AEB:00.2150;0002DecodingIntensityStdDev:385.501;0002DecodingIntensityStdDev_488:385.501;0002DecodingIntensityStdDev_647:5.465;0002DecodingIntensityStdDev_700:5.235;0002DecodingIntensityStdDev_750:6.935;0002F_on:0.1934;0002FillPercent:016.22;0002KineticInconsistentLower:0;0002KineticInconsistentMetadata:-623.434480117182|2.67;0002MeanDecodingIntensity:1522.12;0002MeanDecodingIntensity_488:1522.12;0002MeanDecodingIntensity_647:34.84;0002MeanDecodingIntensity_700:30.57;0002MeanDecodingIntensity_750:35.66;0002ReflectiveIntensity:12941.95;0002ReflectiveIntensityStdDev:666.687;0002SealTimeEstimate:16.3;0021_DecodingIntensityStdDev_577F1:38.540;0021_DecodingIntensityStdDev_577F2:81.998;0021_MeanDecodingIntensity_577F1:390.65;0021_MeanDecodingIntensity_577F2:397.58;0021AEB:00.0163;0021DecodingIntensityStdDev:93.843;0021DecodingIntensityStdDev_488:25.305;0021DecodingIntensityStdDev_647:93.843;0021DecodingIntensityStdDev_700:11.239;0021DecodingIntensityStdDev_750:7.444;0021F_on:0.0162;0021FillPercent:009.94;0021KineticInconsistentLower:0;0021KineticInconsistentMetadata:-614.636297094589|2.68;0021MeanDecodingIntensity:405.52;0021MeanDecodingIntensity_488:137.32;0021MeanDecodingIntensity_647:405.52;0021MeanDecodingIntensity_700:67.47;0021MeanDecodingIntensity_750:35.90;0021ReflectiveIntensity:12708.23;0021ReflectiveIntensityStdDev:558.444;0021SealTimeEstimate:16.2;0201_DecodingIntensityStdDev_577F1:36.778;0201_DecodingIntensityStdDev_577F2:74.615;0201_MeanDecodingIntensity_577F1:392.52;0201_MeanDecodingIntensity_577F2:400.25;0201AEB:00.0207;0201DecodingIntensityStdDev:137.270;0201DecodingIntensityStdDev_488:48.411;0201DecodingIntensityStdDev_647:41.447;0201DecodingIntensityStdDev_700:137.270;0201DecodingIntensityStdDev_750:15.350;0201F_on:0.0205;0201FillPercent:011.77;0201KineticInconsistentLower:0;0201KineticInconsistentMetadata:-663.381281521041|2.74;0201MeanDecodingIntensity:489.57;0201MeanDecodingIntensity_488:143.93;0201MeanDecodingIntensity_647:101.41;0201MeanDecodingIntensity_700:489.57;0201MeanDecodingIntensity_750:65.26;0201ReflectiveIntensity:12792.49;0201ReflectiveIntensityStdDev:613.920;0201SealTimeEstimate:15.6;2001_DecodingIntensityStdDev_577F1:37.598;2001_DecodingIntensityStdDev_577F2:69.194;2001_MeanDecodingIntensity_577F1:421.33;2001_MeanDecodingIntensity_577F2:429.29;2001AEB:00.0224;2001DecodingIntensityStdDev:252.729;2001DecodingIntensityStdDev_488:70.177;2001DecodingIntensityStdDev_647:13.568;2001DecodingIntensityStdDev_700:8.278;2001DecodingIntensityStdDev_750:252.729;2001F_on:0.0222;2001FillPercent:011.32;2001KineticInconsistentLower:0;2001KineticInconsistentMetadata:-658.298219323257|2.66;2001MeanDecodingIntensity:928.16;2001MeanDecodingIntensity_488:146.34;2001MeanDecodingIntensity_647:38.90;2001MeanDecodingIntensity_700:34.93;2001MeanDecodingIntensity_750:928.16;2001ReflectiveIntensity:12788.59;2001ReflectiveIntensityStdDev:621.756;2001SealTimeEstimate:16.4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13.04;Empties488F1MeanIntensity:69.36;Empties577F1IntensityStdDev:21.62;Empties577F1MeanIntensity:363.33;Empties577F2IntensityStdDev:33.78;Empties577F2MeanIntensity:362.81;Empties647F1IntensityStdDev:4.63;Empties647F1MeanIntensity:31.61;Empties700F1IntensityStdDev:4.67;Empties700F1MeanIntensity:29.57;Empties750F1IntensityStdDev:5.72;Empties750F1MeanIntensity:34.02;EmptiesIGrowth:420.16;EmptiesReflectiveIntensityStdDev:351.64;EmptiesReflectiveMeanIntensity:11545.74;Errors:;F2minusF1Shift:-1.7;FluorescenceClassification:Normal;Focus_FracImageLost:0.00;FocusScoresAvg:3.47;FocusScoresImageCenter:4.54;FocusScoresMax:5.14;FocusScoresMedian:3.46;FractionImageDebris:0.1051;FractionWellsDebris:0.1178;ImageQualityScoreIfUnpegged:1.00;IndexingWellsMissingFromFov:0;IndexingWellsTotalLostBothVisibleAndMissing:0;IndexingWellsVisibleInFovButRemoved:0;L1DR time (ms):27334;NetBeadFillRate:34.54;NormalizedFillPercentage:049.25;Notes:Xtalk: usable out of spec wv 577 sr 4 dir 5 value 0.046. | Xtalk: usable out of spec wv 577 sr 8 dir 5 value 0.046. | Xtalk: usable out of spec wv 577 sr 9 dir 5 value 0.038. | Xtalk: usable out of spec wv 488 sr 4 dir 5 value 0.036.;NumberDecSaturated:0;NumberEmpties:58168;NumberFlagged_DeadPixels:79.0000;NumberFlagged_Debris:22701.0000;NumberFlagged_MissingNeighbor:2888.0000;NumberFlagged_OddlyRecurrentClassification:2288.0000;NumberFlagged_OutOfBounds:4087.0000;NumberInvalidWells:29233;NumberPositiveEmpties:62;NumberPositives:10125;NumberResSaturated:0;NumberSaturatedWithoutDebris:0;NumberValidUnclassified:48811.00;NumberValidWells:163430;OddlyAggregatedFlag:2;OddlyAggregatedLocations:;OddlyAggregatedWorst:0;OffsetW488:( 0, 0 );OffsetW577:( 0, 0 );OffsetW647:( 0, 0 );OffsetW700:( 0, 0 );OffsetW750:( 0, 0 );ResorufinUnsaturated:0;ResorufinUnsaturatedMutated:0;ResorufinUnsaturaterNumberInFit:39;SaturatedDecodingWells:1;SuspiciousWells:24532;SuspiciousWellsFlagged:1;SuspiciousWellsLowerThreshold:5;Warnings:;WhiteLightChannelMedian:9785;XtalkSubregionsOutOfSpec:0</t>
  </si>
  <si>
    <t>0002_DecodingIntensityStdDev_577F1:84.208;0002_DecodingIntensityStdDev_577F2:187.314;0002_MeanDecodingIntensity_577F1:424.76;0002_MeanDecodingIntensity_577F2:470.71;0002AEB:00.2259;0002DecodingIntensityStdDev:352.540;0002DecodingIntensityStdDev_488:352.540;0002DecodingIntensityStdDev_647:4.817;0002DecodingIntensityStdDev_700:4.755;0002DecodingIntensityStdDev_750:5.956;0002F_on:0.2022;0002FillPercent:013.96;0002KineticInconsistentLower:0;0002KineticInconsistentMetadata:-516.660327255988|2.4;0002MeanDecodingIntensity:1610.80;0002MeanDecodingIntensity_488:1610.80;0002MeanDecodingIntensity_647:34.76;0002MeanDecodingIntensity_700:30.14;0002MeanDecodingIntensity_750:34.99;0002ReflectiveIntensity:13215.30;0002ReflectiveIntensityStdDev:626.122;0002SealTimeEstimate:19.5;0021_DecodingIntensityStdDev_577F1:34.512;0021_DecodingIntensityStdDev_577F2:65.711;0021_MeanDecodingIntensity_577F1:390.58;0021_MeanDecodingIntensity_577F2:397.43;0021AEB:00.0172;0021DecodingIntensityStdDev:85.965;0021DecodingIntensityStdDev_488:20.795;0021DecodingIntensityStdDev_647:85.965;0021DecodingIntensityStdDev_700:9.789;0021DecodingIntensityStdDev_750:6.127;0021F_on:0.0170;0021FillPercent:008.59;0021KineticInconsistentLower:0;0021KineticInconsistentMetadata:-538.890867358879|2.46;0021MeanDecodingIntensity:428.53;0021MeanDecodingIntensity_488:136.54;0021MeanDecodingIntensity_647:428.53;0021MeanDecodingIntensity_700:69.25;0021MeanDecodingIntensity_750:35.00;0021ReflectiveIntensity:12949.90;0021ReflectiveIntensityStdDev:521.911;0021SealTimeEstimate:18.7;0201_DecodingIntensityStdDev_577F1:36.619;0201_DecodingIntensityStdDev_577F2:70.268;0201_MeanDecodingIntensity_577F1:390.12;0201_MeanDecodingIntensity_577F2:397.55;0201AEB:00.0195;0201DecodingIntensityStdDev:108.757;0201DecodingIntensityStdDev_488:23.679;0201DecodingIntensityStdDev_647:15.831;0201DecodingIntensityStdDev_700:108.757;0201DecodingIntensityStdDev_750:10.313;0201F_on:0.0193;0201FillPercent:009.74;0201KineticInconsistentLower:0;0201KineticInconsistentMetadata:-495.330913539823|2.37;0201MeanDecodingIntensity:508.40;0201MeanDecodingIntensity_488:138.81;0201MeanDecodingIntensity_647:99.20;0201MeanDecodingIntensity_700:508.40;0201MeanDecodingIntensity_750:65.27;0201ReflectiveIntensity:12981.51;0201ReflectiveIntensityStdDev:530.707;0201SealTimeEstimate:20.0;2001_DecodingIntensityStdDev_577F1:40.764;2001_DecodingIntensityStdDev_577F2:76.624;2001_MeanDecodingIntensity_577F1:421.49;2001_MeanDecodingIntensity_577F2:429.46;2001AEB:00.0201;2001DecodingIntensityStdDev:217.308;2001DecodingIntensityStdDev_488:23.215;2001DecodingIntensityStdDev_647:5.182;2001DecodingIntensityStdDev_700:5.417;2001DecodingIntensityStdDev_750:217.308;2001F_on:0.0199;2001FillPercent:009.16;2001KineticInconsistentLower:0;2001KineticInconsistentMetadata:-591.842787358007|2.47;2001MeanDecodingIntensity:971.66;2001MeanDecodingIntensity_488:138.06;2001MeanDecodingIntensity_647:37.78;2001MeanDecodingIntensity_700:34.38;2001MeanDecodingIntensity_750:971.66;2001ReflectiveIntensity:12978.45;2001ReflectiveIntensityStdDev:559.077;2001SealTimeEstimate:18.6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11.60;Empties488F1MeanIntensity:66.82;Empties577F1IntensityStdDev:27.33;Empties577F1MeanIntensity:354.01;Empties577F2IntensityStdDev:31.68;Empties577F2MeanIntensity:353.82;Empties647F1IntensityStdDev:4.35;Empties647F1MeanIntensity:31.56;Empties700F1IntensityStdDev:4.35;Empties700F1MeanIntensity:29.44;Empties750F1IntensityStdDev:5.23;Empties750F1MeanIntensity:33.78;EmptiesIGrowth:426.55;EmptiesReflectiveIntensityStdDev:341.68;EmptiesReflectiveMeanIntensity:11723.55;Errors:;F2minusF1Shift:-1.3;FluorescenceClassification:Normal;Focus_FracImageLost:0.00;FocusScoresAvg:3.32;FocusScoresImageCenter:4.48;FocusScoresMax:4.87;FocusScoresMedian:3.34;FractionImageDebris:0.0479;FractionWellsDebris:0.0545;ImageQualityScoreIfUnpegged:1.00;IndexingWellsMissingFromFov:0;IndexingWellsTotalLostBothVisibleAndMissing:0;IndexingWellsVisibleInFovButRemoved:0;L1DR time (ms):27249;NetBeadFillRate:29.10;NormalizedFillPercentage:041.45;Notes:Xtalk: usable out of spec wv 577 sr 4 dir 5 value 0.043. | Xtalk: usable out of spec wv 577 sr 8 dir 5 value 0.036.;NumberDecSaturated:0;NumberEmpties:72859;NumberFlagged_DeadPixels:72.0000;NumberFlagged_Debris:10493.0000;NumberFlagged_MissingNeighbor:3034.0000;NumberFlagged_OutOfBounds:4190.0000;NumberInvalidWells:15338;NumberPositiveEmpties:32;NumberPositives:7686;NumberResSaturated:0;NumberSaturatedWithoutDebris:0;NumberValidUnclassified:52797.00;NumberValidWells:177237;OddlyAggregatedFlag:2;OddlyAggregatedLocations:;OddlyAggregatedWorst:0;OffsetW488:( 0, 0 );OffsetW577:( 0, 0 );OffsetW647:( 0, 0 );OffsetW700:( 0, 0 );OffsetW750:( 0, 0 );ResorufinUnsaturated:0;ResorufinUnsaturatedMutated:0;ResorufinUnsaturaterNumberInFit:60;SaturatedDecodingWells:0;SuspiciousWells:24339;SuspiciousWellsFlagged:1;SuspiciousWellsLowerThreshold:4;Warnings:;WhiteLightChannelMedian:9895;XtalkSubregionsOutOfSpec:0</t>
  </si>
  <si>
    <t>0002_DecodingIntensityStdDev_577F1:81.495;0002_DecodingIntensityStdDev_577F2:180.882;0002_MeanDecodingIntensity_577F1:420.84;0002_MeanDecodingIntensity_577F2:464.13;0002AEB:00.2172;0002DecodingIntensityStdDev:340.032;0002DecodingIntensityStdDev_488:340.032;0002DecodingIntensityStdDev_647:4.770;0002DecodingIntensityStdDev_700:4.633;0002DecodingIntensityStdDev_750:5.827;0002F_on:0.1952;0002FillPercent:013.51;0002KineticInconsistentLower:0;0002KineticInconsistentMetadata:-523.890025228245|2.41;0002MeanDecodingIntensity:1554.45;0002MeanDecodingIntensity_488:1554.45;0002MeanDecodingIntensity_647:34.69;0002MeanDecodingIntensity_700:30.09;0002MeanDecodingIntensity_750:34.96;0002ReflectiveIntensity:13147.87;0002ReflectiveIntensityStdDev:592.123;0002SealTimeEstimate:19.4;0021_DecodingIntensityStdDev_577F1:32.420;0021_DecodingIntensityStdDev_577F2:62.386;0021_MeanDecodingIntensity_577F1:388.40;0021_MeanDecodingIntensity_577F2:395.09;0021AEB:00.0168;0021DecodingIntensityStdDev:82.113;0021DecodingIntensityStdDev_488:20.045;0021DecodingIntensityStdDev_647:82.113;0021DecodingIntensityStdDev_700:9.313;0021DecodingIntensityStdDev_750:5.991;0021F_on:0.0166;0021FillPercent:007.93;0021KineticInconsistentLower:0;0021KineticInconsistentMetadata:-538.000134039747|2.47;0021MeanDecodingIntensity:416.47;0021MeanDecodingIntensity_488:134.76;0021MeanDecodingIntensity_647:416.47;0021MeanDecodingIntensity_700:67.97;0021MeanDecodingIntensity_750:35.01;0021ReflectiveIntensity:12894.79;0021ReflectiveIntensityStdDev:474.245;0021SealTimeEstimate:18.6;0201_DecodingIntensityStdDev_577F1:37.483;0201_DecodingIntensityStdDev_577F2:74.236;0201_MeanDecodingIntensity_577F1:388.56;0201_MeanDecodingIntensity_577F2:396.54;0201AEB:00.0238;0201DecodingIntensityStdDev:97.823;0201DecodingIntensityStdDev_488:21.893;0201DecodingIntensityStdDev_647:14.387;0201DecodingIntensityStdDev_700:97.823;0201DecodingIntensityStdDev_750:9.580;0201F_on:0.0235;0201FillPercent:008.94;0201KineticInconsistentLower:0;0201KineticInconsistentMetadata:-549.036206112168|2.46;0201MeanDecodingIntensity:488.69;0201MeanDecodingIntensity_488:136.21;0201MeanDecodingIntensity_647:96.00;0201MeanDecodingIntensity_700:488.69;0201MeanDecodingIntensity_750:64.09;0201ReflectiveIntensity:12913.79;0201ReflectiveIntensityStdDev:485.255;0201SealTimeEstimate:18.7;2001_DecodingIntensityStdDev_577F1:37.244;2001_DecodingIntensityStdDev_577F2:69.760;2001_MeanDecodingIntensity_577F1:418.44;2001_MeanDecodingIntensity_577F2:426.03;2001AEB:00.0221;2001DecodingIntensityStdDev:201.024;2001DecodingIntensityStdDev_488:21.688;2001DecodingIntensityStdDev_647:5.126;2001DecodingIntensityStdDev_700:5.227;2001DecodingIntensityStdDev_750:201.024;2001F_on:0.0219;2001FillPercent:008.65;2001KineticInconsistentLower:0;2001KineticInconsistentMetadata:-538.537291309072|2.39;2001MeanDecodingIntensity:964.32;2001MeanDecodingIntensity_488:136.24;2001MeanDecodingIntensity_647:37.77;2001MeanDecodingIntensity_700:34.13;2001MeanDecodingIntensity_750:964.32;2001ReflectiveIntensity:12925.02;2001ReflectiveIntensityStdDev:512.558;2001SealTimeEstimate:19.7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11.37;Empties488F1MeanIntensity:66.53;Empties577F1IntensityStdDev:24.83;Empties577F1MeanIntensity:356.57;Empties577F2IntensityStdDev:33.75;Empties577F2MeanIntensity:356.45;Empties647F1IntensityStdDev:4.21;Empties647F1MeanIntensity:31.52;Empties700F1IntensityStdDev:4.20;Empties700F1MeanIntensity:29.40;Empties750F1IntensityStdDev:5.07;Empties750F1MeanIntensity:33.75;EmptiesIGrowth:473.01;EmptiesReflectiveIntensityStdDev:298.04;EmptiesReflectiveMeanIntensity:11708.31;Errors:;F2minusF1Shift:-1.6;FluorescenceClassification:Normal;Focus_FracImageLost:0.00;FocusScoresAvg:3.24;FocusScoresImageCenter:4.50;FocusScoresMax:5.05;FocusScoresMedian:3.21;FractionImageDebris:0.0441;FractionWellsDebris:0.0504;ImageQualityScoreIfUnpegged:1.00;IndexingWellsMissingFromFov:0;IndexingWellsTotalLostBothVisibleAndMissing:0;IndexingWellsVisibleInFovButRemoved:0;L1DR time (ms):27918;NetBeadFillRate:27.41;NormalizedFillPercentage:039.02;Notes:Xtalk: usable out of spec wv 577 sr 4 dir 5 value 0.046. | Xtalk: usable out of spec wv 577 sr 8 dir 5 value 0.038.;NumberDecSaturated:0;NumberEmpties:76398;NumberFlagged_DeadPixels:73.0000;NumberFlagged_Debris:9714.0000;NumberFlagged_MissingNeighbor:2396.0000;NumberFlagged_OutOfBounds:4185.0000;NumberInvalidWells:14231;NumberPositiveEmpties:38;NumberPositives:7165;NumberResSaturated:0;NumberSaturatedWithoutDebris:0;NumberValidUnclassified:53092.00;NumberValidWells:178380;OddlyAggregatedFlag:2;OddlyAggregatedLocations:;OddlyAggregatedWorst:0;OffsetW488:( 0, 0 );OffsetW577:( 0, 0 );OffsetW647:( 0, 0 );OffsetW700:( 0, 0 );OffsetW750:( 0, -1 );ResorufinUnsaturated:0;ResorufinUnsaturatedMutated:0;ResorufinUnsaturaterNumberInFit:63;SaturatedDecodingWells:0;SuspiciousWells:28462;SuspiciousWellsFlagged:1;SuspiciousWellsLowerThreshold:3;Warnings:;WhiteLightChannelMedian:9851;XtalkSubregionsOutOfSpec:0</t>
  </si>
  <si>
    <t>spikein-high-1-8-3</t>
  </si>
  <si>
    <t>Plate 2 - Well C11</t>
  </si>
  <si>
    <t>0002_DecodingIntensityStdDev_577F1:98.728;0002_DecodingIntensityStdDev_577F2:214.030;0002_MeanDecodingIntensity_577F1:544.14;0002_MeanDecodingIntensity_577F2:728.45;0002AEB:-;0002DecodingIntensityStdDev:351.774;0002DecodingIntensityStdDev_488:351.774;0002DecodingIntensityStdDev_647:4.854;0002DecodingIntensityStdDev_700:4.694;0002DecodingIntensityStdDev_750:5.921;0002F_on:0.9790;0002FillPercent:013.89;0002KineticInconsistentLower:0;0002KineticInconsistentMetadata:-527.909320643213|2.36;0002MeanDecodingIntensity:1600.70;0002MeanDecodingIntensity_488:1600.70;0002MeanDecodingIntensity_647:34.81;0002MeanDecodingIntensity_700:30.17;0002MeanDecodingIntensity_750:34.95;0002ReflectiveIntensity:13220.26;0002ReflectiveIntensityStdDev:583.226;0002SealTimeEstimate:20.1;0021_DecodingIntensityStdDev_577F1:81.687;0021_DecodingIntensityStdDev_577F2:173.685;0021_MeanDecodingIntensity_577F1:544.57;0021_MeanDecodingIntensity_577F2:736.78;0021AEB:-;0021DecodingIntensityStdDev:85.091;0021DecodingIntensityStdDev_488:20.380;0021DecodingIntensityStdDev_647:85.091;0021DecodingIntensityStdDev_700:9.670;0021DecodingIntensityStdDev_750:6.065;0021F_on:0.9946;0021FillPercent:008.42;0021KineticInconsistentLower:0;0021KineticInconsistentMetadata:-502.389751602616|2.32;0021MeanDecodingIntensity:423.50;0021MeanDecodingIntensity_488:135.58;0021MeanDecodingIntensity_647:423.50;0021MeanDecodingIntensity_700:68.35;0021MeanDecodingIntensity_750:34.93;0021ReflectiveIntensity:12985.51;0021ReflectiveIntensityStdDev:484.407;0021SealTimeEstimate:20.8;0201_DecodingIntensityStdDev_577F1:81.936;0201_DecodingIntensityStdDev_577F2:172.562;0201_MeanDecodingIntensity_577F1:537.63;0201_MeanDecodingIntensity_577F2:721.09;0201AEB:-;0201DecodingIntensityStdDev:106.364;0201DecodingIntensityStdDev_488:22.312;0201DecodingIntensityStdDev_647:15.779;0201DecodingIntensityStdDev_700:106.364;0201DecodingIntensityStdDev_750:10.026;0201F_on:0.9906;0201FillPercent:009.54;0201KineticInconsistentLower:0;0201KineticInconsistentMetadata:-491.419170498676|2.3;0201MeanDecodingIntensity:497.09;0201MeanDecodingIntensity_488:137.04;0201MeanDecodingIntensity_647:97.66;0201MeanDecodingIntensity_700:497.09;0201MeanDecodingIntensity_750:63.99;0201ReflectiveIntensity:13015.96;0201ReflectiveIntensityStdDev:502.449;0201SealTimeEstimate:21.1;2001_DecodingIntensityStdDev_577F1:82.588;2001_DecodingIntensityStdDev_577F2:171.972;2001_MeanDecodingIntensity_577F1:567.11;2001_MeanDecodingIntensity_577F2:750.20;2001AEB:-;2001DecodingIntensityStdDev:205.985;2001DecodingIntensityStdDev_488:22.351;2001DecodingIntensityStdDev_647:5.155;2001DecodingIntensityStdDev_700:5.378;2001DecodingIntensityStdDev_750:205.985;2001F_on:0.9925;2001FillPercent:009.20;2001KineticInconsistentLower:0;2001KineticInconsistentMetadata:-522.49163283699|2.29;2001MeanDecodingIntensity:944.06;2001MeanDecodingIntensity_488:137.60;2001MeanDecodingIntensity_647:37.94;2001MeanDecodingIntensity_700:34.14;2001MeanDecodingIntensity_750:944.06;2001ReflectiveIntensity:13021.36;2001ReflectiveIntensityStdDev:530.294;2001SealTimeEstimate:21.3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11.17;Empties488F1MeanIntensity:67.91;Empties577F1IntensityStdDev:21.16;Empties577F1MeanIntensity:376.72;Empties577F2IntensityStdDev:30.86;Empties577F2MeanIntensity:378.45;Empties647F1IntensityStdDev:4.23;Empties647F1MeanIntensity:31.51;Empties700F1IntensityStdDev:4.21;Empties700F1MeanIntensity:29.33;Empties750F1IntensityStdDev:5.03;Empties750F1MeanIntensity:33.54;EmptiesIGrowth:154.50;EmptiesReflectiveIntensityStdDev:288.19;EmptiesReflectiveMeanIntensity:11774.25;Errors:;F2minusF1Shift:-2.0;FittedF2OverF1Intercept:-490.641312212337;FittedF2OverF1Slope:2.08970173661235;FluorescenceClassification:Normal;Focus_FracImageLost:0.00;FocusScoresAvg:3.36;FocusScoresImageCenter:4.39;FocusScoresMax:5.05;FocusScoresMedian:3.42;FractionImageDebris:0.1684;FractionWellsDebris:0.1826;ImageQualityScoreIfUnpegged:1.00;IndexingWellsMissingFromFov:0;IndexingWellsTotalLostBothVisibleAndMissing:0;IndexingWellsVisibleInFovButRemoved:0;L1DR time (ms):28061;NetBeadFillRate:28.81;NormalizedFillPercentage:041.04;Notes:Xtalk: usable out of spec wv 577 sr 4 dir 5 value 0.043. | Xtalk: usable out of spec wv 577 sr 8 dir 5 value 0.043.;NumberDecSaturated:0;NumberEmpties:58141;NumberFlagged_DeadPixels:72.0000;NumberFlagged_Debris:35122.0000;NumberFlagged_MissingNeighbor:3027.0000;NumberFlagged_OddlyRecurrentClassification:28900.0000;NumberFlagged_OutOfBounds:4166.0000;NumberInvalidWells:51788;NumberPositiveEmpties:142;NumberPositives:85968;NumberResSaturated:0;NumberSaturatedWithoutDebris:0;NumberValidUnclassified:41892.00;NumberValidWells:140511;OddlyAggregatedFlag:2;OddlyAggregatedLocations:;OddlyAggregatedWorst:0;OffsetW488:( 0, 0 );OffsetW577:( 0, 0 );OffsetW647:( 0, 0 );OffsetW700:( 0, 0 );OffsetW750:( 0, -1 );ResorufinUnsaturated:1;ResorufinUnsaturatedMutated:0;ResorufinUnsaturatedSuspiciousF1:0;ResorufinUnsaturaterNumberInFit:574;SaturatedDecodingWells:0;SuspiciousWells:21819;SuspiciousWellsFlagged:1;SuspiciousWellsLowerThreshold:5;Warnings:;WhiteLightChannelMedian:9921;XtalkSubregionsOutOfSpec:0</t>
  </si>
  <si>
    <t>0002_DecodingIntensityStdDev_577F1:102.085;0002_DecodingIntensityStdDev_577F2:213.987;0002_MeanDecodingIntensity_577F1:515.16;0002_MeanDecodingIntensity_577F2:674.35;0002AEB:-;0002DecodingIntensityStdDev:340.215;0002DecodingIntensityStdDev_488:340.215;0002DecodingIntensityStdDev_647:4.511;0002DecodingIntensityStdDev_700:4.249;0002DecodingIntensityStdDev_750:5.425;0002F_on:0.9561;0002FillPercent:011.04;0002KineticInconsistentLower:0;0002KineticInconsistentMetadata:-465.499599083076|2.27;0002MeanDecodingIntensity:1663.60;0002MeanDecodingIntensity_488:1663.60;0002MeanDecodingIntensity_647:34.96;0002MeanDecodingIntensity_700:30.00;0002MeanDecodingIntensity_750:34.51;0002ReflectiveIntensity:13568.36;0002ReflectiveIntensityStdDev:658.874;0002SealTimeEstimate:21.6;0021_DecodingIntensityStdDev_577F1:81.373;0021_DecodingIntensityStdDev_577F2:166.065;0021_MeanDecodingIntensity_577F1:513.00;0021_MeanDecodingIntensity_577F2:676.60;0021AEB:-;0021DecodingIntensityStdDev:84.158;0021DecodingIntensityStdDev_488:19.345;0021DecodingIntensityStdDev_647:84.158;0021DecodingIntensityStdDev_700:9.417;0021DecodingIntensityStdDev_750:5.390;0021F_on:0.9876;0021FillPercent:006.61;0021KineticInconsistentLower:0;0021KineticInconsistentMetadata:-426.167426732117|2.2;0021MeanDecodingIntensity:442.46;0021MeanDecodingIntensity_488:138.12;0021MeanDecodingIntensity_647:442.46;0021MeanDecodingIntensity_700:70.46;0021MeanDecodingIntensity_750:34.41;0021ReflectiveIntensity:13339.74;0021ReflectiveIntensityStdDev:606.170;0021SealTimeEstimate:22.9;0201_DecodingIntensityStdDev_577F1:76.009;0201_DecodingIntensityStdDev_577F2:154.600;0201_MeanDecodingIntensity_577F1:504.96;0201_MeanDecodingIntensity_577F2:659.43;0201AEB:-;0201DecodingIntensityStdDev:99.359;0201DecodingIntensityStdDev_488:20.614;0201DecodingIntensityStdDev_647:14.844;0201DecodingIntensityStdDev_700:99.359;0201DecodingIntensityStdDev_750:9.083;0201F_on:0.9789;0201FillPercent:007.37;0201KineticInconsistentLower:0;0201KineticInconsistentMetadata:-425.348899451274|2.2;0201MeanDecodingIntensity:525.24;0201MeanDecodingIntensity_488:138.94;0201MeanDecodingIntensity_647:100.25;0201MeanDecodingIntensity_700:525.24;0201MeanDecodingIntensity_750:64.96;0201ReflectiveIntensity:13335.00;0201ReflectiveIntensityStdDev:603.239;0201SealTimeEstimate:22.9;2001_DecodingIntensityStdDev_577F1:77.992;2001_DecodingIntensityStdDev_577F2:156.859;2001_MeanDecodingIntensity_577F1:536.52;2001_MeanDecodingIntensity_577F2:690.04;2001AEB:-;2001DecodingIntensityStdDev:210.380;2001DecodingIntensityStdDev_488:20.257;2001DecodingIntensityStdDev_647:4.945;2001DecodingIntensityStdDev_700:4.851;2001DecodingIntensityStdDev_750:210.380;2001F_on:0.9813;2001FillPercent:007.14;2001KineticInconsistentLower:0;2001KineticInconsistentMetadata:-452.503162602612|2.18;2001MeanDecodingIntensity:1021.63;2001MeanDecodingIntensity_488:139.16;2001MeanDecodingIntensity_647:38.26;2001MeanDecodingIntensity_700:34.06;2001MeanDecodingIntensity_750:1021.63;2001ReflectiveIntensity:13349.70;2001ReflectiveIntensityStdDev:614.062;2001SealTimeEstimate:23.3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10.76;Empties488F1MeanIntensity:66.22;Empties577F1IntensityStdDev:33.29;Empties577F1MeanIntensity:347.10;Empties577F2IntensityStdDev:41.70;Empties577F2MeanIntensity:349.72;Empties647F1IntensityStdDev:4.17;Empties647F1MeanIntensity:31.70;Empties700F1IntensityStdDev:4.04;Empties700F1MeanIntensity:29.39;Empties750F1IntensityStdDev:4.87;Empties750F1MeanIntensity:33.57;EmptiesIGrowth:214.37;EmptiesReflectiveIntensityStdDev:416.30;EmptiesReflectiveMeanIntensity:12086.90;Errors:;F2minusF1Shift:-2.0;FittedF2OverF1Intercept:-534.892309434958;FittedF2OverF1Slope:2.14791396130057;FluorescenceClassification:Normal;Focus_FracImageLost:0.00;FocusScoresAvg:3.47;FocusScoresImageCenter:5.07;FocusScoresMax:5.59;FocusScoresMedian:3.50;FractionImageDebris:0.0770;FractionWellsDebris:0.0909;ImageQualityScoreIfUnpegged:1.00;IndexingWellsMissingFromFov:0;IndexingWellsTotalLostBothVisibleAndMissing:0;IndexingWellsVisibleInFovButRemoved:0;L1DR time (ms):27741;NetBeadFillRate:22.61;NormalizedFillPercentage:032.16;Notes:Xtalk: usable out of spec wv 577 sr 4 dir 5 value 0.036. | Xtalk: usable out of spec wv 577 sr 8 dir 5 value 0.038. | Xtalk: usable out of spec wv 577 sr 9 dir 5 value 0.038.;NumberDecSaturated:0;NumberEmpties:80825;NumberFlagged_DeadPixels:77.0000;NumberFlagged_Debris:17507.0000;NumberFlagged_MissingNeighbor:2737.0000;NumberFlagged_NeighborSaturated:06.0000;NumberFlagged_OddlyRecurrentClassification:2102.0000;NumberFlagged_OutOfBounds:4150.0000;NumberFlagged_SaturatedPixelResorufinTwo:01.0000;NumberFlagged_SaturationRemoverSuspiciousF1:01.0000;NumberInvalidWells:23077;NumberPositiveEmpties:181;NumberPositives:62310;NumberResSaturated:1;NumberSaturatedWithoutDebris:1;NumberValidUnclassified:50323.00;NumberValidWells:169463;OddlyAggregatedFlag:2;OddlyAggregatedLocations:;OddlyAggregatedWorst:0;OffsetW488:( 0, 0 );OffsetW577:( 0, 0 );OffsetW647:( 0, 0 );OffsetW700:( 0, 0 );OffsetW750:( 0, 0 );ResorufinUnsaturated:1;ResorufinUnsaturatedMutated:0;ResorufinUnsaturatedSuspiciousF1:1;ResorufinUnsaturaterNumberInFit:282;SaturatedDecodingWells:0;SuspiciousWells:29021;SuspiciousWellsFlagged:1;SuspiciousWellsLowerThreshold:4;Warnings:;WhiteLightChannelMedian:10013;XtalkSubregionsOutOfSpec:0</t>
  </si>
  <si>
    <t>spikein-high-1-8-4</t>
  </si>
  <si>
    <t>Plate 2 - Well D11</t>
  </si>
  <si>
    <t>0002_DecodingIntensityStdDev_577F1:88.269;0002_DecodingIntensityStdDev_577F2:194.761;0002_MeanDecodingIntensity_577F1:442.41;0002_MeanDecodingIntensity_577F2:494.60;0002AEB:00.2506;0002DecodingIntensityStdDev:353.254;0002DecodingIntensityStdDev_488:353.254;0002DecodingIntensityStdDev_647:4.855;0002DecodingIntensityStdDev_700:4.731;0002DecodingIntensityStdDev_750:5.986;0002F_on:0.2217;0002FillPercent:015.09;0002KineticInconsistentLower:0;0002KineticInconsistentMetadata:-558.968055911543|2.43;0002MeanDecodingIntensity:1610.40;0002MeanDecodingIntensity_488:1610.40;0002MeanDecodingIntensity_647:34.76;0002MeanDecodingIntensity_700:30.20;0002MeanDecodingIntensity_750:34.94;0002ReflectiveIntensity:13148.24;0002ReflectiveIntensityStdDev:636.234;0002SealTimeEstimate:19.1;0021_DecodingIntensityStdDev_577F1:38.367;0021_DecodingIntensityStdDev_577F2:77.397;0021_MeanDecodingIntensity_577F1:408.38;0021_MeanDecodingIntensity_577F2:423.60;0021AEB:00.0637;0021DecodingIntensityStdDev:87.566;0021DecodingIntensityStdDev_488:20.980;0021DecodingIntensityStdDev_647:87.566;0021DecodingIntensityStdDev_700:10.187;0021DecodingIntensityStdDev_750:6.378;0021F_on:0.0617;0021FillPercent:008.94;0021KineticInconsistentLower:0;0021KineticInconsistentMetadata:-530.247312078422|2.38;0021MeanDecodingIntensity:435.15;0021MeanDecodingIntensity_488:137.84;0021MeanDecodingIntensity_647:435.15;0021MeanDecodingIntensity_700:69.77;0021MeanDecodingIntensity_750:35.21;0021ReflectiveIntensity:12910.03;0021ReflectiveIntensityStdDev:546.191;0021SealTimeEstimate:19.8;0201_DecodingIntensityStdDev_577F1:43.714;0201_DecodingIntensityStdDev_577F2:89.183;0201_MeanDecodingIntensity_577F1:408.28;0201_MeanDecodingIntensity_577F2:423.52;0201AEB:00.0575;0201DecodingIntensityStdDev:119.783;0201DecodingIntensityStdDev_488:25.331;0201DecodingIntensityStdDev_647:21.907;0201DecodingIntensityStdDev_700:119.783;0201DecodingIntensityStdDev_750:11.437;0201F_on:0.0559;0201FillPercent:010.39;0201KineticInconsistentLower:0;0201KineticInconsistentMetadata:-561.838363441099|2.45;0201MeanDecodingIntensity:513.91;0201MeanDecodingIntensity_488:140.05;0201MeanDecodingIntensity_647:100.57;0201MeanDecodingIntensity_700:513.91;0201MeanDecodingIntensity_750:65.38;0201ReflectiveIntensity:12968.69;0201ReflectiveIntensityStdDev:580.117;0201SealTimeEstimate:18.8;2001_DecodingIntensityStdDev_577F1:42.824;2001_DecodingIntensityStdDev_577F2:83.362;2001_MeanDecodingIntensity_577F1:441.09;2001_MeanDecodingIntensity_577F2:457.33;2001AEB:00.0643;2001DecodingIntensityStdDev:237.018;2001DecodingIntensityStdDev_488:25.025;2001DecodingIntensityStdDev_647:5.280;2001DecodingIntensityStdDev_700:5.504;2001DecodingIntensityStdDev_750:237.018;2001F_on:0.0623;2001FillPercent:009.81;2001KineticInconsistentLower:0;2001KineticInconsistentMetadata:-588.963075550422|2.41;2001MeanDecodingIntensity:993.94;2001MeanDecodingIntensity_488:139.86;2001MeanDecodingIntensity_647:38.01;2001MeanDecodingIntensity_700:34.46;2001MeanDecodingIntensity_750:993.94;2001ReflectiveIntensity:12968.97;2001ReflectiveIntensityStdDev:582.010;2001SealTimeEstimate:19.4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11.46;Empties488F1MeanIntensity:66.04;Empties577F1IntensityStdDev:18.83;Empties577F1MeanIntensity:371.92;Empties577F2IntensityStdDev:26.43;Empties577F2MeanIntensity:370.28;Empties647F1IntensityStdDev:4.24;Empties647F1MeanIntensity:31.27;Empties700F1IntensityStdDev:4.21;Empties700F1MeanIntensity:29.22;Empties750F1IntensityStdDev:5.16;Empties750F1MeanIntensity:33.57;EmptiesIGrowth:281.74;EmptiesReflectiveIntensityStdDev:348.97;EmptiesReflectiveMeanIntensity:11682.78;Errors:;F2minusF1Shift:-2.4;FluorescenceClassification:Normal;Focus_FracImageLost:0.00;FocusScoresAvg:3.65;FocusScoresImageCenter:4.60;FocusScoresMax:5.18;FocusScoresMedian:3.64;FractionImageDebris:0.0869;FractionWellsDebris:0.0942;ImageQualityScoreIfUnpegged:1.00;IndexingWellsMissingFromFov:0;IndexingWellsTotalLostBothVisibleAndMissing:0;IndexingWellsVisibleInFovButRemoved:0;L1DR time (ms):26572;NetBeadFillRate:31.04;NormalizedFillPercentage:044.22;Notes:Xtalk: usable out of spec wv 577 sr 4 dir 5 value 0.036.;NumberDecSaturated:1;NumberEmpties:66361;NumberFlagged_DeadPixels:82.0000;NumberFlagged_Debris:18121.0000;NumberFlagged_MissingNeighbor:3108.0000;NumberFlagged_NeighborSaturated:12.0000;NumberFlagged_OddlyRecurrentClassification:2743.0000;NumberFlagged_OutOfBounds:4248.0000;NumberFlagged_SaturatedPixelDecodingFour:01.0000;NumberFlagged_SaturatedPixelResorufinTwo:01.0000;NumberInvalidWells:22869;NumberPositiveEmpties:58;NumberPositives:12847;NumberResSaturated:1;NumberSaturatedWithoutDebris:0;NumberValidUnclassified:50491.00;NumberValidWells:169460;OddlyAggregatedFlag:2;OddlyAggregatedLocations:;OddlyAggregatedWorst:0;OffsetW488:( 0, 0 );OffsetW577:( 0, 0 );OffsetW647:( 0, 0 );OffsetW700:( 0, 0 );OffsetW750:( 0, -1 );ResorufinUnsaturated:0;ResorufinUnsaturatedMutated:0;ResorufinUnsaturaterNumberInFit:113;SaturatedDecodingWells:1;SuspiciousWells:23388;SuspiciousWellsFlagged:1;SuspiciousWellsLowerThreshold:5;Warnings:;WhiteLightChannelMedian:9740;XtalkSubregionsOutOfSpec:0</t>
  </si>
  <si>
    <t>0002_DecodingIntensityStdDev_577F1:88.968;0002_DecodingIntensityStdDev_577F2:195.638;0002_MeanDecodingIntensity_577F1:434.60;0002_MeanDecodingIntensity_577F2:487.11;0002AEB:00.2502;0002DecodingIntensityStdDev:343.253;0002DecodingIntensityStdDev_488:343.253;0002DecodingIntensityStdDev_647:4.896;0002DecodingIntensityStdDev_700:4.820;0002DecodingIntensityStdDev_750:6.024;0002F_on:0.2214;0002FillPercent:012.66;0002KineticInconsistentLower:0;0002KineticInconsistentMetadata:-544.630285343245|2.43;0002MeanDecodingIntensity:1548.68;0002MeanDecodingIntensity_488:1548.68;0002MeanDecodingIntensity_647:34.79;0002MeanDecodingIntensity_700:30.17;0002MeanDecodingIntensity_750:34.93;0002ReflectiveIntensity:13223.95;0002ReflectiveIntensityStdDev:637.276;0002SealTimeEstimate:19.1;0021_DecodingIntensityStdDev_577F1:35.929;0021_DecodingIntensityStdDev_577F2:71.835;0021_MeanDecodingIntensity_577F1:401.43;0021_MeanDecodingIntensity_577F2:416.98;0021AEB:00.0606;0021DecodingIntensityStdDev:87.442;0021DecodingIntensityStdDev_488:22.445;0021DecodingIntensityStdDev_647:87.442;0021DecodingIntensityStdDev_700:10.104;0021DecodingIntensityStdDev_750:6.365;0021F_on:0.0588;0021FillPercent:007.64;0021KineticInconsistentLower:0;0021KineticInconsistentMetadata:-560.173903066778|2.48;0021MeanDecodingIntensity:419.62;0021MeanDecodingIntensity_488:135.66;0021MeanDecodingIntensity_647:419.62;0021MeanDecodingIntensity_700:67.98;0021MeanDecodingIntensity_750:35.04;0021ReflectiveIntensity:13004.76;0021ReflectiveIntensityStdDev:548.435;0021SealTimeEstimate:18.4;0201_DecodingIntensityStdDev_577F1:37.782;0201_DecodingIntensityStdDev_577F2:74.495;0201_MeanDecodingIntensity_577F1:400.67;0201_MeanDecodingIntensity_577F2:416.27;0201AEB:00.0622;0201DecodingIntensityStdDev:111.005;0201DecodingIntensityStdDev_488:25.472;0201DecodingIntensityStdDev_647:18.779;0201DecodingIntensityStdDev_700:111.005;0201DecodingIntensityStdDev_750:11.153;0201F_on:0.0603;0201FillPercent:008.78;0201KineticInconsistentLower:0;0201KineticInconsistentMetadata:-520.250489900746|2.39;0201MeanDecodingIntensity:490.92;0201MeanDecodingIntensity_488:138.16;0201MeanDecodingIntensity_647:98.97;0201MeanDecodingIntensity_700:490.92;0201MeanDecodingIntensity_750:65.11;0201ReflectiveIntensity:13033.29;0201ReflectiveIntensityStdDev:567.523;0201SealTimeEstimate:19.7;2001_DecodingIntensityStdDev_577F1:44.089;2001_DecodingIntensityStdDev_577F2:87.003;2001_MeanDecodingIntensity_577F1:431.31;2001_MeanDecodingIntensity_577F2:447.98;2001AEB:00.0702;2001DecodingIntensityStdDev:229.716;2001DecodingIntensityStdDev_488:25.010;2001DecodingIntensityStdDev_647:5.477;2001DecodingIntensityStdDev_700:5.812;2001DecodingIntensityStdDev_750:229.716;2001F_on:0.0678;2001FillPercent:008.45;2001KineticInconsistentLower:0;2001KineticInconsistentMetadata:-563.941426992875|2.4;2001MeanDecodingIntensity:949.27;2001MeanDecodingIntensity_488:138.00;2001MeanDecodingIntensity_647:37.83;2001MeanDecodingIntensity_700:34.38;2001MeanDecodingIntensity_750:949.27;2001ReflectiveIntensity:13038.17;2001ReflectiveIntensityStdDev:580.534;2001SealTimeEstimate:19.5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12.17;Empties488F1MeanIntensity:68.26;Empties577F1IntensityStdDev:18.40;Empties577F1MeanIntensity:366.91;Empties577F2IntensityStdDev:24.56;Empties577F2MeanIntensity:365.97;Empties647F1IntensityStdDev:4.43;Empties647F1MeanIntensity:31.58;Empties700F1IntensityStdDev:4.41;Empties700F1MeanIntensity:29.38;Empties750F1IntensityStdDev:5.30;Empties750F1MeanIntensity:33.67;EmptiesIGrowth:334.83;EmptiesReflectiveIntensityStdDev:338.99;EmptiesReflectiveMeanIntensity:11789.57;Errors:;F2minusF1Shift:-1.9;FluorescenceClassification:Normal;Focus_FracImageLost:0.00;FocusScoresAvg:3.44;FocusScoresImageCenter:4.86;FocusScoresMax:5.26;FocusScoresMedian:3.49;FractionImageDebris:0.0923;FractionWellsDebris:0.0986;ImageQualityScoreIfUnpegged:1.00;IndexingWellsMissingFromFov:0;IndexingWellsTotalLostBothVisibleAndMissing:0;IndexingWellsVisibleInFovButRemoved:0;L1DR time (ms):25584;NetBeadFillRate:26.35;NormalizedFillPercentage:037.52;Notes:Xtalk: usable out of spec wv 577 sr 4 dir 5 value 0.043. | Xtalk: usable out of spec wv 577 sr 8 dir 5 value 0.038. | Xtalk: usable out of spec wv 700 sr 4 dir 5 value 0.036.;NumberDecSaturated:0;NumberEmpties:74258;NumberFlagged_DeadPixels:71.0000;NumberFlagged_Debris:18978.0000;NumberFlagged_MissingNeighbor:2415.0000;NumberFlagged_OutOfBounds:4217.0000;NumberInvalidWells:23161;NumberPositiveEmpties:40;NumberPositives:10744;NumberResSaturated:0;NumberSaturatedWithoutDebris:0;NumberValidUnclassified:50401.00;NumberValidWells:169256;OddlyAggregatedFlag:2;OddlyAggregatedLocations:;OddlyAggregatedWorst:0;OffsetW488:( 0, 0 );OffsetW577:( 0, 0 );OffsetW647:( 0, 0 );OffsetW700:( 0, 0 );OffsetW750:( 0, -1 );ResorufinUnsaturated:0;ResorufinUnsaturatedMutated:0;ResorufinUnsaturaterNumberInFit:89;SaturatedDecodingWells:0;SuspiciousWells:27442;SuspiciousWellsFlagged:1;SuspiciousWellsLowerThreshold:4;Warnings:;WhiteLightChannelMedian:9821;XtalkSubregionsOutOfSpec:0</t>
  </si>
  <si>
    <t>0002_DecodingIntensityStdDev_577F1:75.286;0002_DecodingIntensityStdDev_577F2:180.334;0002_MeanDecodingIntensity_577F1:433.85;0002_MeanDecodingIntensity_577F2:484.86;0002AEB:00.2328;0002DecodingIntensityStdDev:355.413;0002DecodingIntensityStdDev_488:355.413;0002DecodingIntensityStdDev_647:5.033;0002DecodingIntensityStdDev_700:4.975;0002DecodingIntensityStdDev_750:6.293;0002F_on:0.2077;0002FillPercent:014.90;0002KineticInconsistentLower:0;0002KineticInconsistentMetadata:-655.057747586534|2.69;0002MeanDecodingIntensity:1537.95;0002MeanDecodingIntensity_488:1537.95;0002MeanDecodingIntensity_647:34.76;0002MeanDecodingIntensity_700:30.32;0002MeanDecodingIntensity_750:35.20;0002ReflectiveIntensity:13353.09;0002ReflectiveIntensityStdDev:603.804;0002SealTimeEstimate:16.1;0021_DecodingIntensityStdDev_577F1:34.031;0021_DecodingIntensityStdDev_577F2:68.194;0021_MeanDecodingIntensity_577F1:405.17;0021_MeanDecodingIntensity_577F2:419.82;0021AEB:00.0580;0021DecodingIntensityStdDev:87.274;0021DecodingIntensityStdDev_488:23.406;0021DecodingIntensityStdDev_647:87.274;0021DecodingIntensityStdDev_700:10.273;0021DecodingIntensityStdDev_750:6.584;0021F_on:0.0564;0021FillPercent:009.16;0021KineticInconsistentLower:0;0021KineticInconsistentMetadata:-625.840701071559|2.64;0021MeanDecodingIntensity:415.15;0021MeanDecodingIntensity_488:136.75;0021MeanDecodingIntensity_647:415.15;0021MeanDecodingIntensity_700:67.38;0021MeanDecodingIntensity_750:35.15;0021ReflectiveIntensity:13133.26;0021ReflectiveIntensityStdDev:509.788;0021SealTimeEstimate:16.6;0201_DecodingIntensityStdDev_577F1:37.152;0201_DecodingIntensityStdDev_577F2:73.028;0201_MeanDecodingIntensity_577F1:405.68;0201_MeanDecodingIntensity_577F2:421.04;0201AEB:00.0597;0201DecodingIntensityStdDev:121.602;0201DecodingIntensityStdDev_488:34.258;0201DecodingIntensityStdDev_647:29.336;0201DecodingIntensityStdDev_700:121.602;0201DecodingIntensityStdDev_750:12.094;0201F_on:0.0579;0201FillPercent:010.59;0201KineticInconsistentLower:0;0201KineticInconsistentMetadata:-614.902190284046|2.61;0201MeanDecodingIntensity:482.87;0201MeanDecodingIntensity_488:141.01;0201MeanDecodingIntensity_647:99.53;0201MeanDecodingIntensity_700:482.87;0201MeanDecodingIntensity_750:64.10;0201ReflectiveIntensity:13197.45;0201ReflectiveIntensityStdDev:558.078;0201SealTimeEstimate:16.9;2001_DecodingIntensityStdDev_577F1:40.446;2001_DecodingIntensityStdDev_577F2:75.483;2001_MeanDecodingIntensity_577F1:435.40;2001_MeanDecodingIntensity_577F2:450.82;2001AEB:00.0524;2001DecodingIntensityStdDev:242.070;2001DecodingIntensityStdDev_488:36.017;2001DecodingIntensityStdDev_647:5.928;2001DecodingIntensityStdDev_700:6.185;2001DecodingIntensityStdDev_750:242.070;2001F_on:0.0510;2001FillPercent:010.27;2001KineticInconsistentLower:0;2001KineticInconsistentMetadata:-671.518542756994|2.64;2001MeanDecodingIntensity:937.73;2001MeanDecodingIntensity_488:141.04;2001MeanDecodingIntensity_647:38.05;2001MeanDecodingIntensity_700:34.40;2001MeanDecodingIntensity_750:937.73;2001ReflectiveIntensity:13181.81;2001ReflectiveIntensityStdDev:549.366;2001SealTimeEstimate:16.6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12.63;Empties488F1MeanIntensity:68.94;Empties577F1IntensityStdDev:22.05;Empties577F1MeanIntensity:371.09;Empties577F2IntensityStdDev:31.84;Empties577F2MeanIntensity:370.00;Empties647F1IntensityStdDev:4.43;Empties647F1MeanIntensity:31.48;Empties700F1IntensityStdDev:4.47;Empties700F1MeanIntensity:29.36;Empties750F1IntensityStdDev:5.35;Empties750F1MeanIntensity:33.80;EmptiesIGrowth:328.78;EmptiesReflectiveIntensityStdDev:319.94;EmptiesReflectiveMeanIntensity:11919.35;Errors:;F2minusF1Shift:-1.2;FluorescenceClassification:Normal;Focus_FracImageLost:0.00;FocusScoresAvg:3.64;FocusScoresImageCenter:4.76;FocusScoresMax:5.12;FocusScoresMedian:3.62;FractionImageDebris:0.1958;FractionWellsDebris:0.1811;ImageQualityScoreIfUnpegged:1.00;IndexingWellsMissingFromFov:0;IndexingWellsTotalLostBothVisibleAndMissing:0;IndexingWellsVisibleInFovButRemoved:0;L1DR time (ms):24829;NetBeadFillRate:31.51;NormalizedFillPercentage:044.91;Notes:Xtalk: usable out of spec wv 577 sr 4 dir 0 value 0.036. | Xtalk: usable out of spec wv 577 sr 8 dir 5 value 0.043.;NumberDecSaturated:0;NumberEmpties:57288;NumberFlagged_DeadPixels:75.0000;NumberFlagged_Debris:33720.0000;NumberFlagged_MissingNeighbor:11066.0000;NumberFlagged_OddlyRecurrentClassification:8497.0000;NumberFlagged_OutOfBounds:4026.0000;NumberInvalidWells:37993;NumberPositiveEmpties:69;NumberPositives:12712;NumberResSaturated:0;NumberSaturatedWithoutDebris:0;NumberValidUnclassified:44226.00;NumberValidWells:148225;OddlyAggregatedFlag:2;OddlyAggregatedLocations:;OddlyAggregatedWorst:0;OffsetW488:( 1, 0 );OffsetW577:( 0, 0 );OffsetW647:( 0, 0 );OffsetW700:( 0, 0 );OffsetW750:( 1, -1 );ResorufinUnsaturated:0;ResorufinUnsaturatedMutated:0;ResorufinUnsaturaterNumberInFit:35;SaturatedDecodingWells:0;SuspiciousWells:19925;SuspiciousWellsFlagged:1;SuspiciousWellsLowerThreshold:6;Warnings:;WhiteLightChannelMedian:9948;XtalkSubregionsOutOfSpec:0</t>
  </si>
  <si>
    <t>spikein-high-1-8-5</t>
  </si>
  <si>
    <t>Plate 2 - Well E11</t>
  </si>
  <si>
    <t>0002_DecodingIntensityStdDev_577F1:80.588;0002_DecodingIntensityStdDev_577F2:180.726;0002_MeanDecodingIntensity_577F1:434.51;0002_MeanDecodingIntensity_577F2:478.57;0002AEB:00.2213;0002DecodingIntensityStdDev:352.013;0002DecodingIntensityStdDev_488:352.013;0002DecodingIntensityStdDev_647:5.184;0002DecodingIntensityStdDev_700:5.286;0002DecodingIntensityStdDev_750:6.705;0002F_on:0.1985;0002FillPercent:014.99;0002KineticInconsistentLower:0;0002KineticInconsistentMetadata:-574.869584662039|2.48;0002MeanDecodingIntensity:1620.65;0002MeanDecodingIntensity_488:1620.65;0002MeanDecodingIntensity_647:35.05;0002MeanDecodingIntensity_700:30.52;0002MeanDecodingIntensity_750:35.58;0002ReflectiveIntensity:13465.45;0002ReflectiveIntensityStdDev:628.315;0002SealTimeEstimate:18.4;0021_DecodingIntensityStdDev_577F1:31.741;0021_DecodingIntensityStdDev_577F2:62.349;0021_MeanDecodingIntensity_577F1:400.54;0021_MeanDecodingIntensity_577F2:406.06;0021AEB:00.0134;0021DecodingIntensityStdDev:89.661;0021DecodingIntensityStdDev_488:26.255;0021DecodingIntensityStdDev_647:89.661;0021DecodingIntensityStdDev_700:10.693;0021DecodingIntensityStdDev_750:7.264;0021F_on:0.0133;0021FillPercent:009.61;0021KineticInconsistentLower:0;0021KineticInconsistentMetadata:-568.621495093499|2.47;0021MeanDecodingIntensity:433.11;0021MeanDecodingIntensity_488:142.04;0021MeanDecodingIntensity_647:433.11;0021MeanDecodingIntensity_700:69.72;0021MeanDecodingIntensity_750:35.81;0021ReflectiveIntensity:13208.87;0021ReflectiveIntensityStdDev:540.486;0021SealTimeEstimate:18.6;0201_DecodingIntensityStdDev_577F1:33.110;0201_DecodingIntensityStdDev_577F2:60.947;0201_MeanDecodingIntensity_577F1:402.10;0201_MeanDecodingIntensity_577F2:408.34;0201AEB:00.0185;0201DecodingIntensityStdDev:125.919;0201DecodingIntensityStdDev_488:61.947;0201DecodingIntensityStdDev_647:51.451;0201DecodingIntensityStdDev_700:125.919;0201DecodingIntensityStdDev_750:18.947;0201F_on:0.0183;0201FillPercent:011.62;0201KineticInconsistentLower:0;0201KineticInconsistentMetadata:-550.639303436115|2.43;0201MeanDecodingIntensity:511.12;0201MeanDecodingIntensity_488:151.31;0201MeanDecodingIntensity_647:109.20;0201MeanDecodingIntensity_700:511.12;0201MeanDecodingIntensity_750:67.26;0201ReflectiveIntensity:13317.15;0201ReflectiveIntensityStdDev:612.065;0201SealTimeEstimate:19.1;2001_DecodingIntensityStdDev_577F1:35.192;2001_DecodingIntensityStdDev_577F2:62.883;2001_MeanDecodingIntensity_577F1:432.02;2001_MeanDecodingIntensity_577F2:438.30;2001AEB:00.0181;2001DecodingIntensityStdDev:248.642;2001DecodingIntensityStdDev_488:91.685;2001DecodingIntensityStdDev_647:15.707;2001DecodingIntensityStdDev_700:8.809;2001DecodingIntensityStdDev_750:248.642;2001F_on:0.0179;2001FillPercent:010.85;2001KineticInconsistentLower:0;2001KineticInconsistentMetadata:-597.253191242236|2.45;2001MeanDecodingIntensity:964.50;2001MeanDecodingIntensity_488:154.84;2001MeanDecodingIntensity_647:39.38;2001MeanDecodingIntensity_700:35.29;2001MeanDecodingIntensity_750:964.50;2001ReflectiveIntensity:13284.33;2001ReflectiveIntensityStdDev:598.403;2001SealTimeEstimate:18.8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13.39;Empties488F1MeanIntensity:69.39;Empties577F1IntensityStdDev:19.60;Empties577F1MeanIntensity:373.15;Empties577F2IntensityStdDev:27.87;Empties577F2MeanIntensity:371.35;Empties647F1IntensityStdDev:4.55;Empties647F1MeanIntensity:31.47;Empties700F1IntensityStdDev:4.68;Empties700F1MeanIntensity:29.44;Empties750F1IntensityStdDev:5.65;Empties750F1MeanIntensity:33.93;EmptiesIGrowth:389.20;EmptiesReflectiveIntensityStdDev:371.81;EmptiesReflectiveMeanIntensity:11962.98;Errors:;F2minusF1Shift:-0.1;FluorescenceClassification:Normal;Focus_FracImageLost:0.00;FocusScoresAvg:3.71;FocusScoresImageCenter:3.04;FocusScoresMax:5.06;FocusScoresMedian:3.70;FractionImageDebris:0.0897;FractionWellsDebris:0.1002;ImageQualityScoreIfUnpegged:1.00;IndexingWellsMissingFromFov:0;IndexingWellsTotalLostBothVisibleAndMissing:0;IndexingWellsVisibleInFovButRemoved:0;L1DR time (ms):27664;NetBeadFillRate:33.01;NormalizedFillPercentage:047.07;Notes:Xtalk: usable out of spec wv 577 sr 4 dir 5 value 0.041. | Xtalk: usable out of spec wv 577 sr 8 dir 5 value 0.041. | Xtalk: usable out of spec wv 577 sr 9 dir 5 value 0.036.;NumberDecSaturated:0;NumberEmpties:62643;NumberFlagged_DeadPixels:73.0000;NumberFlagged_Debris:19273.0000;NumberFlagged_MissingNeighbor:2577.0000;NumberFlagged_NeighborSaturated:06.0000;NumberFlagged_OddlyRecurrentClassification:264.0000;NumberFlagged_OutOfBounds:4148.0000;NumberFlagged_SaturatedPixelResorufinTwo:01.0000;NumberInvalidWells:23662;NumberPositiveEmpties:45;NumberPositives:9337;NumberResSaturated:1;NumberSaturatedWithoutDebris:0;NumberValidUnclassified:50371.00;NumberValidWells:168715;OddlyAggregatedFlag:2;OddlyAggregatedLocations:;OddlyAggregatedWorst:0;OffsetW488:( 0, 0 );OffsetW577:( 0, 0 );OffsetW647:( 0, 0 );OffsetW700:( 0, 0 );OffsetW750:( 0, -1 );ResorufinUnsaturated:0;ResorufinUnsaturatedMutated:0;ResorufinUnsaturaterNumberInFit:59;SaturatedDecodingWells:0;SuspiciousWells:25946;SuspiciousWellsFlagged:1;SuspiciousWellsLowerThreshold:6;Warnings:;WhiteLightChannelMedian:9937;XtalkSubregionsOutOfSpec:0</t>
  </si>
  <si>
    <t>0002_DecodingIntensityStdDev_577F1:54.304;0002_DecodingIntensityStdDev_577F2:159.949;0002_MeanDecodingIntensity_577F1:432.44;0002_MeanDecodingIntensity_577F2:477.29;0002AEB:00.2259;0002DecodingIntensityStdDev:365.453;0002DecodingIntensityStdDev_488:365.453;0002DecodingIntensityStdDev_647:5.128;0002DecodingIntensityStdDev_700:5.230;0002DecodingIntensityStdDev_750:6.614;0002F_on:0.2022;0002FillPercent:016.82;0002KineticInconsistentLower:0;0002KineticInconsistentMetadata:-948.857386020899|3.4;0002MeanDecodingIntensity:1582.03;0002MeanDecodingIntensity_488:1582.03;0002MeanDecodingIntensity_647:34.97;0002MeanDecodingIntensity_700:30.60;0002MeanDecodingIntensity_750:35.80;0002ReflectiveIntensity:13413.84;0002ReflectiveIntensityStdDev:611.927;0002SealTimeEstimate:11.2;0021_DecodingIntensityStdDev_577F1:26.952;0021_DecodingIntensityStdDev_577F2:56.448;0021_MeanDecodingIntensity_577F1:408.87;0021_MeanDecodingIntensity_577F2:412.19;0021AEB:00.0150;0021DecodingIntensityStdDev:83.138;0021DecodingIntensityStdDev_488:24.333;0021DecodingIntensityStdDev_647:83.138;0021DecodingIntensityStdDev_700:10.015;0021DecodingIntensityStdDev_750:6.926;0021F_on:0.0149;0021FillPercent:010.28;0021KineticInconsistentLower:0;0021KineticInconsistentMetadata:-983.069037836644|3.49;0021MeanDecodingIntensity:418.08;0021MeanDecodingIntensity_488:141.57;0021MeanDecodingIntensity_647:418.08;0021MeanDecodingIntensity_700:68.17;0021MeanDecodingIntensity_750:35.80;0021ReflectiveIntensity:13179.40;0021ReflectiveIntensityStdDev:507.822;0021SealTimeEstimate:10.8;0201_DecodingIntensityStdDev_577F1:27.826;0201_DecodingIntensityStdDev_577F2:57.250;0201_MeanDecodingIntensity_577F1:408.73;0201_MeanDecodingIntensity_577F2:412.26;0201AEB:00.0165;0201DecodingIntensityStdDev:116.786;0201DecodingIntensityStdDev_488:28.808;0201DecodingIntensityStdDev_647:18.138;0201DecodingIntensityStdDev_700:116.786;0201DecodingIntensityStdDev_750:11.497;0201F_on:0.0164;0201FillPercent:011.80;0201KineticInconsistentLower:0;0201KineticInconsistentMetadata:-1003.85888608655|3.53;0201MeanDecodingIntensity:491.70;0201MeanDecodingIntensity_488:144.57;0201MeanDecodingIntensity_647:98.00;0201MeanDecodingIntensity_700:491.70;0201MeanDecodingIntensity_750:65.03;0201ReflectiveIntensity:13234.86;0201ReflectiveIntensityStdDev:541.030;0201SealTimeEstimate:10.6;2001_DecodingIntensityStdDev_577F1:31.865;2001_DecodingIntensityStdDev_577F2:63.841;2001_MeanDecodingIntensity_577F1:438.99;2001_MeanDecodingIntensity_577F2:443.11;2001AEB:00.0191;2001DecodingIntensityStdDev:233.544;2001DecodingIntensityStdDev_488:28.269;2001DecodingIntensityStdDev_647:5.722;2001DecodingIntensityStdDev_700:6.341;2001DecodingIntensityStdDev_750:233.544;2001F_on:0.0189;2001FillPercent:011.27;2001KineticInconsistentLower:0;2001KineticInconsistentMetadata:-1003.98953022478|3.4;2001MeanDecodingIntensity:933.01;2001MeanDecodingIntensity_488:144.61;2001MeanDecodingIntensity_647:38.08;2001MeanDecodingIntensity_700:34.61;2001MeanDecodingIntensity_750:933.01;2001ReflectiveIntensity:13232.04;2001ReflectiveIntensityStdDev:556.599;2001SealTimeEstimate:11.2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13.11;Empties488F1MeanIntensity:72.41;Empties577F1IntensityStdDev:20.55;Empties577F1MeanIntensity:380.80;Empties577F2IntensityStdDev:31.69;Empties577F2MeanIntensity:376.72;Empties647F1IntensityStdDev:4.48;Empties647F1MeanIntensity:31.58;Empties700F1IntensityStdDev:4.57;Empties700F1MeanIntensity:29.58;Empties750F1IntensityStdDev:5.56;Empties750F1MeanIntensity:34.23;EmptiesIGrowth:439.62;EmptiesReflectiveIntensityStdDev:331.06;EmptiesReflectiveMeanIntensity:11992.60;Errors:;F2minusF1Shift:2.4;FluorescenceClassification:Normal;Focus_FracImageLost:0.00;FocusScoresAvg:3.85;FocusScoresImageCenter:4.92;FocusScoresMax:5.32;FocusScoresMedian:3.87;FractionImageDebris:0.0597;FractionWellsDebris:0.0668;ImageQualityScoreIfUnpegged:0.60;IndexingWellsMissingFromFov:0;IndexingWellsTotalLostBothVisibleAndMissing:0;IndexingWellsVisibleInFovButRemoved:0;L1DR time (ms):25138;NetBeadFillRate:35.19;NormalizedFillPercentage:050.16;Notes:Xtalk: usable out of spec wv 577 sr 4 dir 5 value 0.038. | Xtalk: usable out of spec wv 577 sr 9 dir 5 value 0.038. | Xtalk: usable out of spec wv 488 sr 4 dir 5 value 0.038. | Xtalk: usable out of spec wv 488 sr 8 dir 5 value 0.036.;NumberDecSaturated:4;NumberEmpties:56282;NumberFlagged_DeadPixels:80.0000;NumberFlagged_Debris:12855.0000;NumberFlagged_MissingNeighbor:2509.0000;NumberFlagged_NeighborSaturated:20.0000;NumberFlagged_OddlyRecurrentClassification:2261.0000;NumberFlagged_OutOfBounds:4169.0000;NumberFlagged_OutOfSpecXtalk:15840.0000;NumberFlagged_SaturatedPixelDecodingFour:04.0000;NumberInvalidWells:31419;NumberPositiveEmpties:68;NumberPositives:9748;NumberResSaturated:0;NumberSaturatedWithoutDebris:2;NumberValidUnclassified:48050.00;NumberValidWells:160973;OddlyAggregatedFlag:2;OddlyAggregatedLocations:;OddlyAggregatedWorst:0;OffsetW488:( 0, 0 );OffsetW577:( 0, 0 );OffsetW647:( 0, 0 );OffsetW700:( 0, 0 );OffsetW750:( 0, -1 );ResorufinUnsaturated:0;ResorufinUnsaturatedMutated:0;ResorufinUnsaturaterNumberInFit:9;SaturatedDecodingWells:2;SuspiciousWells:20477;SuspiciousWellsFlagged:1;SuspiciousWellsLowerThreshold:6;Warnings:Xtalk: unusable out of spec wv 577 sr 8 dir 5 value 0.060.;WhiteLightChannelMedian:9878;XtalkSubregionsOutOfSpec:1</t>
  </si>
  <si>
    <t>0002_DecodingIntensityStdDev_577F1:46.084;0002_DecodingIntensityStdDev_577F2:152.102;0002_MeanDecodingIntensity_577F1:424.94;0002_MeanDecodingIntensity_577F2:469.56;0002AEB:00.2154;0002DecodingIntensityStdDev:370.558;0002DecodingIntensityStdDev_488:370.558;0002DecodingIntensityStdDev_647:5.126;0002DecodingIntensityStdDev_700:5.191;0002DecodingIntensityStdDev_750:6.514;0002F_on:0.1938;0002FillPercent:015.72;0002KineticInconsistentLower:0;0002KineticInconsistentMetadata:-1106.57572754335|3.83;0002MeanDecodingIntensity:1598.96;0002MeanDecodingIntensity_488:1598.96;0002MeanDecodingIntensity_647:34.76;0002MeanDecodingIntensity_700:30.54;0002MeanDecodingIntensity_750:35.55;0002ReflectiveIntensity:13365.51;0002ReflectiveIntensityStdDev:598.017;0002SealTimeEstimate:9.5;0021_DecodingIntensityStdDev_577F1:24.590;0021_DecodingIntensityStdDev_577F2:58.900;0021_MeanDecodingIntensity_577F1:403.92;0021_MeanDecodingIntensity_577F2:409.05;0021AEB:00.0175;0021DecodingIntensityStdDev:81.299;0021DecodingIntensityStdDev_488:22.212;0021DecodingIntensityStdDev_647:81.299;0021DecodingIntensityStdDev_700:9.876;0021DecodingIntensityStdDev_750:6.635;0021F_on:0.0173;0021FillPercent:011.32;0021KineticInconsistentLower:0;0021KineticInconsistentMetadata:-1101.53180830952|3.84;0021MeanDecodingIntensity:417.66;0021MeanDecodingIntensity_488:136.69;0021MeanDecodingIntensity_647:417.66;0021MeanDecodingIntensity_700:68.42;0021MeanDecodingIntensity_750:35.29;0021ReflectiveIntensity:13121.14;0021ReflectiveIntensityStdDev:492.940;0021SealTimeEstimate:9.4;0201_DecodingIntensityStdDev_577F1:24.851;0201_DecodingIntensityStdDev_577F2:55.341;0201_MeanDecodingIntensity_577F1:403.90;0201_MeanDecodingIntensity_577F2:408.98;0201AEB:00.0183;0201DecodingIntensityStdDev:122.084;0201DecodingIntensityStdDev_488:27.116;0201DecodingIntensityStdDev_647:23.131;0201DecodingIntensityStdDev_700:122.084;0201DecodingIntensityStdDev_750:11.901;0201F_on:0.0181;0201FillPercent:013.10;0201KineticInconsistentLower:0;0201KineticInconsistentMetadata:-1028.34999651785|3.69;0201MeanDecodingIntensity:500.81;0201MeanDecodingIntensity_488:139.83;0201MeanDecodingIntensity_647:97.99;0201MeanDecodingIntensity_700:500.81;0201MeanDecodingIntensity_750:64.27;0201ReflectiveIntensity:13193.23;0201ReflectiveIntensityStdDev:554.834;0201SealTimeEstimate:10.0;2001_DecodingIntensityStdDev_577F1:28.300;2001_DecodingIntensityStdDev_577F2:57.506;2001_MeanDecodingIntensity_577F1:433.96;2001_MeanDecodingIntensity_577F2:439.21;2001AEB:00.0197;2001DecodingIntensityStdDev:230.336;2001DecodingIntensityStdDev_488:26.264;2001DecodingIntensityStdDev_647:5.564;2001DecodingIntensityStdDev_700:5.960;2001DecodingIntensityStdDev_750:230.336;2001F_on:0.0195;2001FillPercent:012.25;2001KineticInconsistentLower:0;2001KineticInconsistentMetadata:-1124.38610600664|3.73;2001MeanDecodingIntensity:923.44;2001MeanDecodingIntensity_488:138.97;2001MeanDecodingIntensity_647:37.85;2001MeanDecodingIntensity_700:34.39;2001MeanDecodingIntensity_750:923.44;2001ReflectiveIntensity:13181.06;2001ReflectiveIntensityStdDev:546.525;2001SealTimeEstimate:9.8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11.30;Empties488F1MeanIntensity:68.19;Empties577F1IntensityStdDev:17.65;Empties577F1MeanIntensity:376.57;Empties577F2IntensityStdDev:22.07;Empties577F2MeanIntensity:373.52;Empties647F1IntensityStdDev:4.31;Empties647F1MeanIntensity:31.20;Empties700F1IntensityStdDev:4.39;Empties700F1MeanIntensity:29.29;Empties750F1IntensityStdDev:5.26;Empties750F1MeanIntensity:33.67;EmptiesIGrowth:307.33;EmptiesReflectiveIntensityStdDev:317.19;EmptiesReflectiveMeanIntensity:11995.75;Errors:;F2minusF1Shift:0.5;FluorescenceClassification:Normal;Focus_FracImageLost:0.00;FocusScoresAvg:3.86;FocusScoresImageCenter:4.67;FocusScoresMax:5.01;FocusScoresMedian:3.94;FractionImageDebris:0.1176;FractionWellsDebris:0.1294;ImageQualityScoreIfUnpegged:1.00;IndexingWellsMissingFromFov:0;IndexingWellsTotalLostBothVisibleAndMissing:0;IndexingWellsVisibleInFovButRemoved:0;L1DR time (ms):25902;NetBeadFillRate:36.75;NormalizedFillPercentage:052.39;Notes:Xtalk: usable out of spec wv 577 sr 8 dir 5 value 0.041.;NumberDecSaturated:0;NumberEmpties:54404;NumberFlagged_DeadPixels:83.0000;NumberFlagged_Debris:24914.0000;NumberFlagged_MissingNeighbor:2648.0000;NumberFlagged_OddlyRecurrentClassification:475.0000;NumberFlagged_OutOfBounds:4160.0000;NumberInvalidWells:29589;NumberPositiveEmpties:38;NumberPositives:9677;NumberResSaturated:0;NumberSaturatedWithoutDebris:0;NumberValidUnclassified:48628.00;NumberValidWells:162894;OddlyAggregatedFlag:2;OddlyAggregatedLocations:;OddlyAggregatedWorst:0;OffsetW488:( 0, 0 );OffsetW577:( 0, 0 );OffsetW647:( 0, 0 );OffsetW700:( 0, 0 );OffsetW750:( 0, -1 );ResorufinUnsaturated:0;ResorufinUnsaturatedMutated:0;ResorufinUnsaturaterNumberInFit:8;SaturatedDecodingWells:0;SuspiciousWells:29168;SuspiciousWellsFlagged:1;SuspiciousWellsLowerThreshold:5;Warnings:;WhiteLightChannelMedian:9884;XtalkSubregionsOutOfSpec:0</t>
  </si>
  <si>
    <t>spikein-high-1-8-6</t>
  </si>
  <si>
    <t>Plate 2 - Well F11</t>
  </si>
  <si>
    <t>0002_DecodingIntensityStdDev_577F1:54.967;0002_DecodingIntensityStdDev_577F2:161.179;0002_MeanDecodingIntensity_577F1:450.27;0002_MeanDecodingIntensity_577F2:507.17;0002AEB:00.3055;0002DecodingIntensityStdDev:378.149;0002DecodingIntensityStdDev_488:378.149;0002DecodingIntensityStdDev_647:5.326;0002DecodingIntensityStdDev_700:5.495;0002DecodingIntensityStdDev_750:6.783;0002F_on:0.2632;0002FillPercent:018.27;0002KineticInconsistentLower:0;0002KineticInconsistentMetadata:-990.74439782314|3.43;0002MeanDecodingIntensity:1632.97;0002MeanDecodingIntensity_488:1632.97;0002MeanDecodingIntensity_647:35.24;0002MeanDecodingIntensity_700:30.98;0002MeanDecodingIntensity_750:36.00;0002ReflectiveIntensity:13501.62;0002ReflectiveIntensityStdDev:622.938;0002SealTimeEstimate:11.1;0021_DecodingIntensityStdDev_577F1:30.762;0021_DecodingIntensityStdDev_577F2:66.833;0021_MeanDecodingIntensity_577F1:429.39;0021_MeanDecodingIntensity_577F2:451.77;0021AEB:00.1435;0021DecodingIntensityStdDev:84.183;0021DecodingIntensityStdDev_488:26.829;0021DecodingIntensityStdDev_647:84.183;0021DecodingIntensityStdDev_700:10.390;0021DecodingIntensityStdDev_750:8.361;0021F_on:0.1336;0021FillPercent:011.01;0021KineticInconsistentLower:0;0021KineticInconsistentMetadata:-775.823272230784|2.96;0021MeanDecodingIntensity:421.69;0021MeanDecodingIntensity_488:145.63;0021MeanDecodingIntensity_647:421.69;0021MeanDecodingIntensity_700:68.89;0021MeanDecodingIntensity_750:36.21;0021ReflectiveIntensity:13255.71;0021ReflectiveIntensityStdDev:508.852;0021SealTimeEstimate:13.8;0201_DecodingIntensityStdDev_577F1:33.016;0201_DecodingIntensityStdDev_577F2:73.229;0201_MeanDecodingIntensity_577F1:429.76;0201_MeanDecodingIntensity_577F2:452.41;0201AEB:00.1637;0201DecodingIntensityStdDev:132.804;0201DecodingIntensityStdDev_488:32.581;0201DecodingIntensityStdDev_647:30.509;0201DecodingIntensityStdDev_700:132.804;0201DecodingIntensityStdDev_750:12.945;0201F_on:0.1510;0201FillPercent:013.13;0201KineticInconsistentLower:0;0201KineticInconsistentMetadata:-746.652848114633|2.9;0201MeanDecodingIntensity:501.56;0201MeanDecodingIntensity_488:149.55;0201MeanDecodingIntensity_647:102.13;0201MeanDecodingIntensity_700:501.56;0201MeanDecodingIntensity_750:65.95;0201ReflectiveIntensity:13347.00;0201ReflectiveIntensityStdDev:578.069;0201SealTimeEstimate:14.2;2001_DecodingIntensityStdDev_577F1:36.220;2001_DecodingIntensityStdDev_577F2:78.782;2001_MeanDecodingIntensity_577F1:459.40;2001_MeanDecodingIntensity_577F2:482.43;2001AEB:00.1477;2001DecodingIntensityStdDev:247.207;2001DecodingIntensityStdDev_488:35.986;2001DecodingIntensityStdDev_647:7.083;2001DecodingIntensityStdDev_700:6.947;2001DecodingIntensityStdDev_750:247.207;2001F_on:0.1373;2001FillPercent:012.42;2001KineticInconsistentLower:0;2001KineticInconsistentMetadata:-813.376893127063|2.94;2001MeanDecodingIntensity:926.61;2001MeanDecodingIntensity_488:149.72;2001MeanDecodingIntensity_647:38.48;2001MeanDecodingIntensity_700:35.14;2001MeanDecodingIntensity_750:926.61;2001ReflectiveIntensity:13327.92;2001ReflectiveIntensityStdDev:569.199;2001SealTimeEstimate:13.9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14.19;Empties488F1MeanIntensity:76.27;Empties577F1IntensityStdDev:23.38;Empties577F1MeanIntensity:392.91;Empties577F2IntensityStdDev:39.68;Empties577F2MeanIntensity:388.73;Empties647F1IntensityStdDev:4.68;Empties647F1MeanIntensity:31.77;Empties700F1IntensityStdDev:4.83;Empties700F1MeanIntensity:29.78;Empties750F1IntensityStdDev:5.77;Empties750F1MeanIntensity:34.40;EmptiesIGrowth:309.98;EmptiesReflectiveIntensityStdDev:322.69;EmptiesReflectiveMeanIntensity:12074.25;Errors:;F2minusF1Shift:-0.3;FluorescenceClassification:Normal;Focus_FracImageLost:0.00;FocusScoresAvg:3.87;FocusScoresImageCenter:5.07;FocusScoresMax:5.46;FocusScoresMedian:3.89;FractionImageDebris:0.0993;FractionWellsDebris:0.1110;ImageQualityScoreIfUnpegged:1.00;IndexingWellsMissingFromFov:0;IndexingWellsTotalLostBothVisibleAndMissing:0;IndexingWellsVisibleInFovButRemoved:0;L1DR time (ms):26657;NetBeadFillRate:38.44;NormalizedFillPercentage:054.83;Notes:Xtalk: usable out of spec wv 577 sr 4 dir 5 value 0.036.;NumberDecSaturated:0;NumberEmpties:51394;NumberFlagged_DeadPixels:82.0000;NumberFlagged_Debris:21326.0000;NumberFlagged_MissingNeighbor:3139.0000;NumberFlagged_OddlyRecurrentClassification:5148.0000;NumberFlagged_OutOfBounds:3989.0000;NumberInvalidWells:29765;NumberPositiveEmpties:187;NumberPositives:27205;NumberResSaturated:0;NumberSaturatedWithoutDebris:0;NumberValidUnclassified:48511.00;NumberValidWells:162290;OddlyAggregatedFlag:2;OddlyAggregatedLocations:;OddlyAggregatedWorst:0;OffsetW488:( 0, 0 );OffsetW577:( 0, 0 );OffsetW647:( 0, 0 );OffsetW700:( 0, 0 );OffsetW750:( 0, -1 );ResorufinUnsaturated:0;ResorufinUnsaturatedMutated:0;ResorufinUnsaturaterNumberInFit:25;SaturatedDecodingWells:0;SuspiciousWells:22080;SuspiciousWellsFlagged:1;SuspiciousWellsLowerThreshold:6;Warnings:;WhiteLightChannelMedian:9995;XtalkSubregionsOutOfSpec:0</t>
  </si>
  <si>
    <t>0002_DecodingIntensityStdDev_577F1:90.419;0002_DecodingIntensityStdDev_577F2:193.272;0002_MeanDecodingIntensity_577F1:443.85;0002_MeanDecodingIntensity_577F2:499.02;0002AEB:00.2885;0002DecodingIntensityStdDev:386.733;0002DecodingIntensityStdDev_488:386.733;0002DecodingIntensityStdDev_647:5.451;0002DecodingIntensityStdDev_700:5.580;0002DecodingIntensityStdDev_750:6.884;0002F_on:0.2506;0002FillPercent:016.25;0002KineticInconsistentLower:0;0002KineticInconsistentMetadata:-546.970092167386|2.41;0002MeanDecodingIntensity:1661.20;0002MeanDecodingIntensity_488:1661.20;0002MeanDecodingIntensity_647:35.51;0002MeanDecodingIntensity_700:31.08;0002MeanDecodingIntensity_750:36.23;0002ReflectiveIntensity:13367.30;0002ReflectiveIntensityStdDev:643.815;0002SealTimeEstimate:19.4;0021_DecodingIntensityStdDev_577F1:48.978;0021_DecodingIntensityStdDev_577F2:98.796;0021_MeanDecodingIntensity_577F1:412.36;0021_MeanDecodingIntensity_577F2:434.28;0021AEB:00.1244;0021DecodingIntensityStdDev:92.715;0021DecodingIntensityStdDev_488:28.171;0021DecodingIntensityStdDev_647:92.715;0021DecodingIntensityStdDev_700:11.049;0021DecodingIntensityStdDev_750:7.362;0021F_on:0.1169;0021FillPercent:009.96;0021KineticInconsistentLower:0;0021KineticInconsistentMetadata:-487.094176483408|2.28;0021MeanDecodingIntensity:436.77;0021MeanDecodingIntensity_488:146.13;0021MeanDecodingIntensity_647:436.77;0021MeanDecodingIntensity_700:70.78;0021MeanDecodingIntensity_750:36.33;0021ReflectiveIntensity:13131.28;0021ReflectiveIntensityStdDev:561.042;0021SealTimeEstimate:21.4;0201_DecodingIntensityStdDev_577F1:45.667;0201_DecodingIntensityStdDev_577F2:85.659;0201_MeanDecodingIntensity_577F1:413.06;0201_MeanDecodingIntensity_577F2:434.32;0201AEB:00.1205;0201DecodingIntensityStdDev:140.941;0201DecodingIntensityStdDev_488:39.267;0201DecodingIntensityStdDev_647:42.812;0201DecodingIntensityStdDev_700:140.941;0201DecodingIntensityStdDev_750:13.873;0201F_on:0.1136;0201FillPercent:011.90;0201KineticInconsistentLower:0;0201KineticInconsistentMetadata:-458.881237562345|2.22;0201MeanDecodingIntensity:519.65;0201MeanDecodingIntensity_488:151.64;0201MeanDecodingIntensity_647:107.81;0201MeanDecodingIntensity_700:519.65;0201MeanDecodingIntensity_750:67.82;0201ReflectiveIntensity:13226.21;0201ReflectiveIntensityStdDev:636.270;0201SealTimeEstimate:22.5;2001_DecodingIntensityStdDev_577F1:50.627;2001_DecodingIntensityStdDev_577F2:96.420;2001_MeanDecodingIntensity_577F1:443.00;2001_MeanDecodingIntensity_577F2:464.35;2001AEB:00.1151;2001DecodingIntensityStdDev:258.716;2001DecodingIntensityStdDev_488:53.962;2001DecodingIntensityStdDev_647:8.722;2001DecodingIntensityStdDev_700:7.623;2001DecodingIntensityStdDev_750:258.716;2001F_on:0.1088;2001FillPercent:011.32;2001KineticInconsistentLower:0;2001KineticInconsistentMetadata:-494.270956662677|2.22;2001MeanDecodingIntensity:965.74;2001MeanDecodingIntensity_488:152.43;2001MeanDecodingIntensity_647:39.04;2001MeanDecodingIntensity_700:35.58;2001MeanDecodingIntensity_750:965.74;2001ReflectiveIntensity:13197.89;2001ReflectiveIntensityStdDev:613.345;2001SealTimeEstimate:22.5;CalHashes:1;CalHashes_Affine:8161C6D17B2B01C0F67FFC5AFB5507DD4CD50F0B;CalHashes_Bleed:7568EEC645160F4CC46C80CD5A4C671B406F4524;CalHashes_DeadPixel:62B7F08AC4FCCBF3643EDB738241504F14431931;CalHashes_InputValues:174D07A947DE4E27135036E8CF3ABD9212620933;CalHashes_Quadrant:B3B692712B6F8BA247399552FF5EC18FD7D38B3B;Empties488F1IntensityStdDev:15.59;Empties488F1MeanIntensity:74.05;Empties577F1IntensityStdDev:24.08;Empties577F1MeanIntensity:368.24;Empties577F2IntensityStdDev:30.16;Empties577F2MeanIntensity:366.59;Empties647F1IntensityStdDev:4.90;Empties647F1MeanIntensity:32.01;Empties700F1IntensityStdDev:5.11;Empties700F1MeanIntensity:30.05;Empties750F1IntensityStdDev:6.19;Empties750F1MeanIntensity:34.74;EmptiesIGrowth:236.49;EmptiesReflectiveIntensityStdDev:377.94;EmptiesReflectiveMeanIntensity:11881.77;Errors:;F2minusF1Shift:-1.2;FluorescenceClassification:Normal;Focus_FracImageLost:0.00;FocusScoresAvg:3.64;FocusScoresImageCenter:4.67;FocusScoresMax:5.62;FocusScoresMedian:3.67;FractionImageDebris:0.0853;FractionWellsDebris:0.0957;ImageQualityScoreIfUnpegged:1.00;IndexingWellsMissingFromFov:0;IndexingWellsTotalLostBothVisibleAndMissing:0;IndexingWellsVisibleInFovButRemoved:0;L1DR time (ms):25993;NetBeadFillRate:34.67;NormalizedFillPercentage:049.44;Notes:Xtalk: usable out of spec wv 577 sr 4 dir 5 value 0.036. | Xtalk: usable out of spec wv 577 sr 8 dir 5 value 0.041. | Xtalk: usable out of spec wv 577 sr 9 dir 5 value 0.038.;NumberDecSaturated:1;NumberEmpties:59906;NumberFlagged_DeadPixels:74.0000;NumberFlagged_Debris:18394.0000;NumberFlagged_MissingNeighbor:3427.0000;NumberFlagged_NeighborSaturated:12.0000;NumberFlagged_OddlyRecurrentClassification:1055.0000;NumberFlagged_OutOfBounds:4043.0000;NumberFlagged_SaturatedPixelDecodingFour:01.0000;NumberFlagged_SaturatedPixelResorufinTwo:01.0000;NumberInvalidWells:23250;NumberPositiveEmpties:85;NumberPositives:21411;NumberResSaturated:1;NumberSaturatedWithoutDebris:0;NumberValidUnclassified:50476.00;NumberValidWells:168954;OddlyAggregatedFlag:2;OddlyAggregatedLocations:;OddlyAggregatedWorst:0;OffsetW488:( 0, 0 );OffsetW577:( 0, 0 );OffsetW647:( 0, 0 );OffsetW700:( 0, 0 );OffsetW750:( 0, -1 );ResorufinUnsaturated:0;ResorufinUnsaturatedMutated:0;ResorufinUnsaturaterNumberInFit:163;SaturatedDecodingWells:0;SuspiciousWells:24428;SuspiciousWellsFlagged:1;SuspiciousWellsLowerThreshold:6;Warnings:;WhiteLightChannelMedian:9967;XtalkSubregionsOutOfSpec:0</t>
  </si>
  <si>
    <t>LOD</t>
  </si>
  <si>
    <t>TNFa (fM)</t>
  </si>
  <si>
    <t>fM</t>
  </si>
  <si>
    <t>17.3kDa</t>
  </si>
  <si>
    <t>pg/L</t>
  </si>
  <si>
    <t>Limor found 7.9fM; close</t>
  </si>
  <si>
    <t xml:space="preserve">control </t>
  </si>
  <si>
    <t>control + spike in</t>
  </si>
  <si>
    <t>from low-spin; 1:2 dilution</t>
  </si>
  <si>
    <t>with spike in</t>
  </si>
  <si>
    <t>interpolated</t>
  </si>
  <si>
    <t>average</t>
  </si>
  <si>
    <t>%R</t>
  </si>
  <si>
    <t>l-1-2-1</t>
  </si>
  <si>
    <t>sp-l-1-2-1</t>
  </si>
  <si>
    <t>l-1-2-2</t>
  </si>
  <si>
    <t>sp-l-1-2-2</t>
  </si>
  <si>
    <t>l-1-2-3</t>
  </si>
  <si>
    <t>sp-l-1-2-3</t>
  </si>
  <si>
    <t>l-1-2-4</t>
  </si>
  <si>
    <t>sp-l-1-2-4</t>
  </si>
  <si>
    <t>l-1-2-5</t>
  </si>
  <si>
    <t>sp-l-1-2-5</t>
  </si>
  <si>
    <t>l-1-2-6</t>
  </si>
  <si>
    <t>sp-l-1-2-6</t>
  </si>
  <si>
    <t>from low-spin; 1:4 dilution</t>
  </si>
  <si>
    <t>l-1-4-1</t>
  </si>
  <si>
    <t>sp-l-1-4-1</t>
  </si>
  <si>
    <t>l-1-4-2</t>
  </si>
  <si>
    <t>sp-l-1-4-2</t>
  </si>
  <si>
    <t>l-1-4-3</t>
  </si>
  <si>
    <t>sp-l-1-4-3</t>
  </si>
  <si>
    <t>l-1-4-4</t>
  </si>
  <si>
    <t>sp-l-1-4-4</t>
  </si>
  <si>
    <t>l-1-4-5</t>
  </si>
  <si>
    <t>sp-l-1-4-5</t>
  </si>
  <si>
    <t>l-1-4-6</t>
  </si>
  <si>
    <t>sp-l-1-4-6</t>
  </si>
  <si>
    <t>from low-spin; 1:8 dilution</t>
  </si>
  <si>
    <t>l-1-8-1</t>
  </si>
  <si>
    <t>sp-l-1-8-1</t>
  </si>
  <si>
    <t>l-1-8-2</t>
  </si>
  <si>
    <t>sp-l-1-8-2</t>
  </si>
  <si>
    <t>l-1-8-3</t>
  </si>
  <si>
    <t>sp-l-1-8-3</t>
  </si>
  <si>
    <t>l-1-8-4</t>
  </si>
  <si>
    <t>sp-l-1-8-4</t>
  </si>
  <si>
    <t>l-1-8-5</t>
  </si>
  <si>
    <t>sp-l-1-8-5</t>
  </si>
  <si>
    <t>l-1-8-6</t>
  </si>
  <si>
    <t>sp-l-1-8-6</t>
  </si>
  <si>
    <t>from high-spin; 1:2 dilution</t>
  </si>
  <si>
    <t>h-1-2-1</t>
  </si>
  <si>
    <t>sp-h-1-2-1</t>
  </si>
  <si>
    <t>h-1-2-2</t>
  </si>
  <si>
    <t>sp-h-1-2-2</t>
  </si>
  <si>
    <t>h-1-2-3</t>
  </si>
  <si>
    <t>sp-h-1-2-3</t>
  </si>
  <si>
    <t>h-1-2-4</t>
  </si>
  <si>
    <t>sp-h-1-2-4</t>
  </si>
  <si>
    <t>h-1-2-5</t>
  </si>
  <si>
    <t>sp-h-1-2-5</t>
  </si>
  <si>
    <t>h-1-2-6</t>
  </si>
  <si>
    <t>sp-h-1-2-6</t>
  </si>
  <si>
    <t>h-1-4-1</t>
  </si>
  <si>
    <t>sp-h-1-4-1</t>
  </si>
  <si>
    <t>h-1-4-2</t>
  </si>
  <si>
    <t>sp-h-1-4-2</t>
  </si>
  <si>
    <t>h-1-4-3</t>
  </si>
  <si>
    <t>sp-h-1-4-3</t>
  </si>
  <si>
    <t>h-1-4-4</t>
  </si>
  <si>
    <t>sp-h-1-4-4</t>
  </si>
  <si>
    <t>h-1-4-5</t>
  </si>
  <si>
    <t>sp-h-1-4-5</t>
  </si>
  <si>
    <t>h-1-4-6</t>
  </si>
  <si>
    <t>sp-h-1-4-6</t>
  </si>
  <si>
    <t>h-1-8-1</t>
  </si>
  <si>
    <t>sp-h-1-8-1</t>
  </si>
  <si>
    <t>h-1-8-2</t>
  </si>
  <si>
    <t>sp-h-1-8-2</t>
  </si>
  <si>
    <t>h-1-8-3</t>
  </si>
  <si>
    <t>sp-h-1-8-3</t>
  </si>
  <si>
    <t>s</t>
  </si>
  <si>
    <t>h-1-8-4</t>
  </si>
  <si>
    <t>sp-h-1-8-4</t>
  </si>
  <si>
    <t>h-1-8-5</t>
  </si>
  <si>
    <t>sp-h-1-8-5</t>
  </si>
  <si>
    <t>h-1-8-6</t>
  </si>
  <si>
    <t>sp-h-1-8-6</t>
  </si>
  <si>
    <t>GF 04/06 Travis</t>
  </si>
  <si>
    <t>Recoveries of spiked recombinant TNFa at 2-, 4-, and 8-fold dilutions</t>
  </si>
  <si>
    <t>#</t>
  </si>
  <si>
    <t>GF#1</t>
  </si>
  <si>
    <t>GF#2</t>
  </si>
  <si>
    <t>GF#3</t>
  </si>
  <si>
    <t>Samples 04/05/23 Rack validation</t>
  </si>
  <si>
    <t>#1</t>
  </si>
  <si>
    <t>#2</t>
  </si>
  <si>
    <t>#3</t>
  </si>
  <si>
    <t>from high-spin; 1:4 dilution</t>
  </si>
  <si>
    <t>from high-spin; 1:8 dilution</t>
  </si>
  <si>
    <t>control (lysis)</t>
  </si>
  <si>
    <t>original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</si>
</sst>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9"/>
  <sheetViews>
    <sheetView topLeftCell="A83" workbookViewId="0">
      <selection activeCell="F2" sqref="F2:F4"/>
    </sheetView>
  </sheetViews>
  <sheetFormatPr baseColWidth="10" defaultColWidth="8.83203125" defaultRowHeight="15" x14ac:dyDescent="0.2"/>
  <cols>
    <col min="1" max="1" width="20.1640625" customWidth="1"/>
    <col min="5" max="5" width="8.1640625" customWidth="1"/>
    <col min="6" max="6" width="14.83203125" customWidth="1"/>
    <col min="15" max="15" width="13.1640625" customWidth="1"/>
    <col min="16" max="16" width="18.6640625" customWidth="1"/>
    <col min="20" max="20" width="62.832031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2.84400922059047E-2</v>
      </c>
      <c r="J2">
        <v>0</v>
      </c>
      <c r="O2" s="1">
        <v>45149.693657407406</v>
      </c>
      <c r="P2" s="1">
        <v>45149.69390046296</v>
      </c>
      <c r="Q2" t="s">
        <v>37</v>
      </c>
      <c r="R2">
        <v>60650</v>
      </c>
      <c r="S2">
        <v>0</v>
      </c>
      <c r="U2" t="s">
        <v>38</v>
      </c>
      <c r="V2">
        <v>2.80394795872589E-2</v>
      </c>
      <c r="W2">
        <v>176.016914075496</v>
      </c>
      <c r="X2" t="s">
        <v>39</v>
      </c>
      <c r="Y2" t="s">
        <v>40</v>
      </c>
      <c r="Z2">
        <v>1</v>
      </c>
      <c r="AA2">
        <v>176.09342319157</v>
      </c>
      <c r="AB2">
        <v>17832</v>
      </c>
      <c r="AC2" t="s">
        <v>41</v>
      </c>
      <c r="AD2">
        <v>1</v>
      </c>
      <c r="AE2" t="s">
        <v>42</v>
      </c>
      <c r="AF2" t="s">
        <v>43</v>
      </c>
    </row>
    <row r="3" spans="1:32" x14ac:dyDescent="0.2">
      <c r="A3" t="s">
        <v>32</v>
      </c>
      <c r="B3" t="s">
        <v>33</v>
      </c>
      <c r="C3" t="s">
        <v>34</v>
      </c>
      <c r="D3" t="s">
        <v>35</v>
      </c>
      <c r="E3" t="s">
        <v>36</v>
      </c>
      <c r="F3">
        <v>2.93164717597626E-2</v>
      </c>
      <c r="J3">
        <v>0</v>
      </c>
      <c r="O3" s="1">
        <v>45149.694178240738</v>
      </c>
      <c r="P3" s="1">
        <v>45149.694432870368</v>
      </c>
      <c r="Q3" t="s">
        <v>37</v>
      </c>
      <c r="R3">
        <v>60651</v>
      </c>
      <c r="S3">
        <v>0</v>
      </c>
      <c r="U3" t="s">
        <v>38</v>
      </c>
      <c r="V3">
        <v>2.8890912770694201E-2</v>
      </c>
      <c r="W3">
        <v>176.016914075496</v>
      </c>
      <c r="X3" t="s">
        <v>39</v>
      </c>
      <c r="Y3" t="s">
        <v>40</v>
      </c>
      <c r="Z3">
        <v>1</v>
      </c>
      <c r="AA3">
        <v>211.15636725209799</v>
      </c>
      <c r="AB3">
        <v>19764</v>
      </c>
      <c r="AC3" t="s">
        <v>41</v>
      </c>
      <c r="AD3">
        <v>1</v>
      </c>
      <c r="AE3" t="s">
        <v>42</v>
      </c>
      <c r="AF3" t="s">
        <v>44</v>
      </c>
    </row>
    <row r="4" spans="1:32" x14ac:dyDescent="0.2">
      <c r="A4" t="s">
        <v>32</v>
      </c>
      <c r="B4" t="s">
        <v>33</v>
      </c>
      <c r="C4" t="s">
        <v>34</v>
      </c>
      <c r="D4" t="s">
        <v>35</v>
      </c>
      <c r="E4" t="s">
        <v>36</v>
      </c>
      <c r="F4">
        <v>2.9898861099554499E-2</v>
      </c>
      <c r="J4">
        <v>0</v>
      </c>
      <c r="O4" s="1">
        <v>45149.694699074076</v>
      </c>
      <c r="P4" s="1">
        <v>45149.694953703707</v>
      </c>
      <c r="Q4" t="s">
        <v>37</v>
      </c>
      <c r="R4">
        <v>60652</v>
      </c>
      <c r="S4">
        <v>0</v>
      </c>
      <c r="U4" t="s">
        <v>38</v>
      </c>
      <c r="V4">
        <v>2.9456311693737899E-2</v>
      </c>
      <c r="W4">
        <v>176.016914075496</v>
      </c>
      <c r="X4" t="s">
        <v>39</v>
      </c>
      <c r="Y4" t="s">
        <v>40</v>
      </c>
      <c r="Z4">
        <v>1</v>
      </c>
      <c r="AA4">
        <v>179.603242972526</v>
      </c>
      <c r="AB4">
        <v>19147</v>
      </c>
      <c r="AC4" t="s">
        <v>41</v>
      </c>
      <c r="AD4">
        <v>1</v>
      </c>
      <c r="AE4" t="s">
        <v>42</v>
      </c>
      <c r="AF4" t="s">
        <v>45</v>
      </c>
    </row>
    <row r="5" spans="1:32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G5">
        <v>2.92184750217406E-2</v>
      </c>
      <c r="H5">
        <v>7.3430524427326805E-4</v>
      </c>
      <c r="I5">
        <v>2.5131538991233899E-2</v>
      </c>
      <c r="K5">
        <v>0</v>
      </c>
      <c r="L5">
        <v>0</v>
      </c>
      <c r="M5" t="s">
        <v>46</v>
      </c>
      <c r="O5" s="1">
        <v>45149.694699074076</v>
      </c>
      <c r="P5" s="1">
        <v>45149.694953703707</v>
      </c>
      <c r="U5" t="s">
        <v>38</v>
      </c>
      <c r="AC5" t="s">
        <v>41</v>
      </c>
      <c r="AD5">
        <v>1</v>
      </c>
      <c r="AE5" t="s">
        <v>42</v>
      </c>
    </row>
    <row r="6" spans="1:32" x14ac:dyDescent="0.2">
      <c r="A6" t="s">
        <v>47</v>
      </c>
      <c r="B6" t="s">
        <v>33</v>
      </c>
      <c r="C6" t="s">
        <v>34</v>
      </c>
      <c r="D6" t="s">
        <v>48</v>
      </c>
      <c r="E6" t="s">
        <v>36</v>
      </c>
      <c r="F6">
        <v>2.63891308284303E-2</v>
      </c>
      <c r="J6">
        <v>0.32</v>
      </c>
      <c r="O6" s="1">
        <v>45149.695219907408</v>
      </c>
      <c r="P6" s="1">
        <v>45149.695474537039</v>
      </c>
      <c r="Q6" t="s">
        <v>37</v>
      </c>
      <c r="R6">
        <v>60653</v>
      </c>
      <c r="S6">
        <v>0</v>
      </c>
      <c r="U6" t="s">
        <v>38</v>
      </c>
      <c r="V6">
        <v>2.6043980453131901E-2</v>
      </c>
      <c r="W6">
        <v>176.016914075496</v>
      </c>
      <c r="X6" t="s">
        <v>39</v>
      </c>
      <c r="Y6" t="s">
        <v>40</v>
      </c>
      <c r="Z6">
        <v>1</v>
      </c>
      <c r="AA6">
        <v>195.63626934573199</v>
      </c>
      <c r="AB6">
        <v>18008</v>
      </c>
      <c r="AC6" t="s">
        <v>41</v>
      </c>
      <c r="AD6">
        <v>1</v>
      </c>
      <c r="AE6" t="s">
        <v>42</v>
      </c>
      <c r="AF6" t="s">
        <v>49</v>
      </c>
    </row>
    <row r="7" spans="1:32" x14ac:dyDescent="0.2">
      <c r="A7" t="s">
        <v>47</v>
      </c>
      <c r="B7" t="s">
        <v>33</v>
      </c>
      <c r="C7" t="s">
        <v>34</v>
      </c>
      <c r="D7" t="s">
        <v>48</v>
      </c>
      <c r="E7" t="s">
        <v>36</v>
      </c>
      <c r="F7">
        <v>3.02571312683915E-2</v>
      </c>
      <c r="J7">
        <v>0.32</v>
      </c>
      <c r="O7" s="1">
        <v>45149.695740740739</v>
      </c>
      <c r="P7" s="1">
        <v>45149.69599537037</v>
      </c>
      <c r="Q7" t="s">
        <v>37</v>
      </c>
      <c r="R7">
        <v>60654</v>
      </c>
      <c r="S7">
        <v>0</v>
      </c>
      <c r="U7" t="s">
        <v>38</v>
      </c>
      <c r="V7">
        <v>2.9803966263961701E-2</v>
      </c>
      <c r="W7">
        <v>176.016914075496</v>
      </c>
      <c r="X7" t="s">
        <v>39</v>
      </c>
      <c r="Y7" t="s">
        <v>40</v>
      </c>
      <c r="Z7">
        <v>1</v>
      </c>
      <c r="AA7">
        <v>197.36771684696501</v>
      </c>
      <c r="AB7">
        <v>17548</v>
      </c>
      <c r="AC7" t="s">
        <v>41</v>
      </c>
      <c r="AD7">
        <v>1</v>
      </c>
      <c r="AE7" t="s">
        <v>42</v>
      </c>
      <c r="AF7" t="s">
        <v>50</v>
      </c>
    </row>
    <row r="8" spans="1:32" x14ac:dyDescent="0.2">
      <c r="A8" t="s">
        <v>47</v>
      </c>
      <c r="B8" t="s">
        <v>33</v>
      </c>
      <c r="C8" t="s">
        <v>34</v>
      </c>
      <c r="D8" t="s">
        <v>48</v>
      </c>
      <c r="E8" t="s">
        <v>36</v>
      </c>
      <c r="F8">
        <v>2.7282216680436101E-2</v>
      </c>
      <c r="J8">
        <v>0.32</v>
      </c>
      <c r="O8" s="1">
        <v>45149.696261574078</v>
      </c>
      <c r="P8" s="1">
        <v>45149.696516203701</v>
      </c>
      <c r="Q8" t="s">
        <v>37</v>
      </c>
      <c r="R8">
        <v>60655</v>
      </c>
      <c r="S8">
        <v>0</v>
      </c>
      <c r="U8" t="s">
        <v>38</v>
      </c>
      <c r="V8">
        <v>2.69134184954689E-2</v>
      </c>
      <c r="W8">
        <v>176.016914075496</v>
      </c>
      <c r="X8" t="s">
        <v>39</v>
      </c>
      <c r="Y8" t="s">
        <v>40</v>
      </c>
      <c r="Z8">
        <v>1</v>
      </c>
      <c r="AA8">
        <v>197.53809218311301</v>
      </c>
      <c r="AB8">
        <v>18318</v>
      </c>
      <c r="AC8" t="s">
        <v>41</v>
      </c>
      <c r="AD8">
        <v>1</v>
      </c>
      <c r="AE8" t="s">
        <v>42</v>
      </c>
      <c r="AF8" t="s">
        <v>51</v>
      </c>
    </row>
    <row r="9" spans="1:32" x14ac:dyDescent="0.2">
      <c r="A9" t="s">
        <v>47</v>
      </c>
      <c r="B9" t="s">
        <v>33</v>
      </c>
      <c r="C9" t="s">
        <v>34</v>
      </c>
      <c r="D9" t="s">
        <v>48</v>
      </c>
      <c r="E9" t="s">
        <v>36</v>
      </c>
      <c r="G9">
        <v>2.7976159592419302E-2</v>
      </c>
      <c r="H9">
        <v>2.0252220679974299E-3</v>
      </c>
      <c r="I9">
        <v>7.2390996387731693E-2</v>
      </c>
      <c r="K9">
        <v>0.32</v>
      </c>
      <c r="L9">
        <v>0</v>
      </c>
      <c r="M9">
        <v>0</v>
      </c>
      <c r="O9" s="1">
        <v>45149.696261574078</v>
      </c>
      <c r="P9" s="1">
        <v>45149.696516203701</v>
      </c>
      <c r="U9" t="s">
        <v>38</v>
      </c>
      <c r="AC9" t="s">
        <v>41</v>
      </c>
      <c r="AD9">
        <v>1</v>
      </c>
      <c r="AE9" t="s">
        <v>42</v>
      </c>
    </row>
    <row r="10" spans="1:32" x14ac:dyDescent="0.2">
      <c r="A10" t="s">
        <v>52</v>
      </c>
      <c r="B10" t="s">
        <v>33</v>
      </c>
      <c r="C10" t="s">
        <v>34</v>
      </c>
      <c r="D10" t="s">
        <v>53</v>
      </c>
      <c r="E10" t="s">
        <v>36</v>
      </c>
      <c r="F10" t="s">
        <v>46</v>
      </c>
      <c r="J10">
        <v>1.6</v>
      </c>
      <c r="O10" s="1">
        <v>45149.696782407409</v>
      </c>
      <c r="P10" s="1">
        <v>45149.69703703704</v>
      </c>
      <c r="Q10" t="s">
        <v>37</v>
      </c>
      <c r="R10">
        <v>60656</v>
      </c>
      <c r="S10">
        <v>3</v>
      </c>
      <c r="T10" t="s">
        <v>54</v>
      </c>
      <c r="U10" t="s">
        <v>38</v>
      </c>
      <c r="V10" t="s">
        <v>46</v>
      </c>
      <c r="W10">
        <v>176.016914075496</v>
      </c>
      <c r="X10" t="s">
        <v>39</v>
      </c>
      <c r="Y10" t="s">
        <v>55</v>
      </c>
      <c r="Z10" t="s">
        <v>46</v>
      </c>
      <c r="AA10" t="s">
        <v>46</v>
      </c>
      <c r="AB10" t="s">
        <v>46</v>
      </c>
      <c r="AC10" t="s">
        <v>41</v>
      </c>
      <c r="AD10">
        <v>1</v>
      </c>
      <c r="AE10" t="s">
        <v>42</v>
      </c>
    </row>
    <row r="11" spans="1:32" x14ac:dyDescent="0.2">
      <c r="A11" t="s">
        <v>52</v>
      </c>
      <c r="B11" t="s">
        <v>33</v>
      </c>
      <c r="C11" t="s">
        <v>34</v>
      </c>
      <c r="D11" t="s">
        <v>53</v>
      </c>
      <c r="E11" t="s">
        <v>36</v>
      </c>
      <c r="F11">
        <v>2.75298923924777E-2</v>
      </c>
      <c r="J11">
        <v>1.6</v>
      </c>
      <c r="O11" s="1">
        <v>45149.69730324074</v>
      </c>
      <c r="P11" s="1">
        <v>45149.697546296295</v>
      </c>
      <c r="Q11" t="s">
        <v>37</v>
      </c>
      <c r="R11">
        <v>60657</v>
      </c>
      <c r="S11">
        <v>0</v>
      </c>
      <c r="U11" t="s">
        <v>38</v>
      </c>
      <c r="V11">
        <v>2.7154398563734299E-2</v>
      </c>
      <c r="W11">
        <v>176.016914075496</v>
      </c>
      <c r="X11" t="s">
        <v>39</v>
      </c>
      <c r="Y11" t="s">
        <v>40</v>
      </c>
      <c r="Z11">
        <v>1</v>
      </c>
      <c r="AA11">
        <v>183.7041941242</v>
      </c>
      <c r="AB11">
        <v>17824</v>
      </c>
      <c r="AC11" t="s">
        <v>41</v>
      </c>
      <c r="AD11">
        <v>1</v>
      </c>
      <c r="AE11" t="s">
        <v>42</v>
      </c>
      <c r="AF11" t="s">
        <v>56</v>
      </c>
    </row>
    <row r="12" spans="1:32" x14ac:dyDescent="0.2">
      <c r="A12" t="s">
        <v>52</v>
      </c>
      <c r="B12" t="s">
        <v>33</v>
      </c>
      <c r="C12" t="s">
        <v>34</v>
      </c>
      <c r="D12" t="s">
        <v>53</v>
      </c>
      <c r="E12" t="s">
        <v>36</v>
      </c>
      <c r="F12" t="s">
        <v>46</v>
      </c>
      <c r="J12">
        <v>1.6</v>
      </c>
      <c r="O12" s="1">
        <v>45149.697824074072</v>
      </c>
      <c r="P12" s="1">
        <v>45149.698078703703</v>
      </c>
      <c r="Q12" t="s">
        <v>37</v>
      </c>
      <c r="R12">
        <v>60658</v>
      </c>
      <c r="S12">
        <v>3</v>
      </c>
      <c r="T12" t="s">
        <v>57</v>
      </c>
      <c r="U12" t="s">
        <v>38</v>
      </c>
      <c r="V12" t="s">
        <v>46</v>
      </c>
      <c r="W12">
        <v>176.016914075496</v>
      </c>
      <c r="X12" t="s">
        <v>39</v>
      </c>
      <c r="Y12" t="s">
        <v>55</v>
      </c>
      <c r="Z12" t="s">
        <v>46</v>
      </c>
      <c r="AA12" t="s">
        <v>46</v>
      </c>
      <c r="AB12" t="s">
        <v>46</v>
      </c>
      <c r="AC12" t="s">
        <v>41</v>
      </c>
      <c r="AD12">
        <v>1</v>
      </c>
      <c r="AE12" t="s">
        <v>42</v>
      </c>
    </row>
    <row r="13" spans="1:32" x14ac:dyDescent="0.2">
      <c r="A13" t="s">
        <v>52</v>
      </c>
      <c r="B13" t="s">
        <v>33</v>
      </c>
      <c r="C13" t="s">
        <v>34</v>
      </c>
      <c r="D13" t="s">
        <v>53</v>
      </c>
      <c r="E13" t="s">
        <v>36</v>
      </c>
      <c r="G13">
        <v>2.75298923924777E-2</v>
      </c>
      <c r="H13" t="s">
        <v>46</v>
      </c>
      <c r="I13" t="s">
        <v>46</v>
      </c>
      <c r="K13">
        <v>1.6</v>
      </c>
      <c r="L13" t="s">
        <v>46</v>
      </c>
      <c r="M13" t="s">
        <v>46</v>
      </c>
      <c r="O13" s="1">
        <v>45149.697824074072</v>
      </c>
      <c r="P13" s="1">
        <v>45149.698078703703</v>
      </c>
      <c r="U13" t="s">
        <v>38</v>
      </c>
      <c r="AC13" t="s">
        <v>41</v>
      </c>
      <c r="AD13">
        <v>1</v>
      </c>
      <c r="AE13" t="s">
        <v>42</v>
      </c>
    </row>
    <row r="14" spans="1:32" x14ac:dyDescent="0.2">
      <c r="A14" t="s">
        <v>58</v>
      </c>
      <c r="B14" t="s">
        <v>33</v>
      </c>
      <c r="C14" t="s">
        <v>34</v>
      </c>
      <c r="D14" t="s">
        <v>59</v>
      </c>
      <c r="E14" t="s">
        <v>36</v>
      </c>
      <c r="F14">
        <v>2.9996982021368399E-2</v>
      </c>
      <c r="J14">
        <v>8</v>
      </c>
      <c r="O14" s="1">
        <v>45149.698344907411</v>
      </c>
      <c r="P14" s="1">
        <v>45149.698599537034</v>
      </c>
      <c r="Q14" t="s">
        <v>37</v>
      </c>
      <c r="R14">
        <v>60659</v>
      </c>
      <c r="S14">
        <v>0</v>
      </c>
      <c r="U14" t="s">
        <v>38</v>
      </c>
      <c r="V14">
        <v>2.9551537663188899E-2</v>
      </c>
      <c r="W14">
        <v>176.016914075496</v>
      </c>
      <c r="X14" t="s">
        <v>39</v>
      </c>
      <c r="Y14" t="s">
        <v>40</v>
      </c>
      <c r="Z14">
        <v>1</v>
      </c>
      <c r="AA14">
        <v>184.81215916312399</v>
      </c>
      <c r="AB14">
        <v>18307</v>
      </c>
      <c r="AC14" t="s">
        <v>41</v>
      </c>
      <c r="AD14">
        <v>1</v>
      </c>
      <c r="AE14" t="s">
        <v>42</v>
      </c>
      <c r="AF14" t="s">
        <v>60</v>
      </c>
    </row>
    <row r="15" spans="1:32" x14ac:dyDescent="0.2">
      <c r="A15" t="s">
        <v>58</v>
      </c>
      <c r="B15" t="s">
        <v>33</v>
      </c>
      <c r="C15" t="s">
        <v>34</v>
      </c>
      <c r="D15" t="s">
        <v>59</v>
      </c>
      <c r="E15" t="s">
        <v>36</v>
      </c>
      <c r="F15">
        <v>3.1430451576378998E-2</v>
      </c>
      <c r="J15">
        <v>8</v>
      </c>
      <c r="O15" s="1">
        <v>45149.698865740742</v>
      </c>
      <c r="P15" s="1">
        <v>45149.699120370373</v>
      </c>
      <c r="Q15" t="s">
        <v>37</v>
      </c>
      <c r="R15">
        <v>60660</v>
      </c>
      <c r="S15">
        <v>0</v>
      </c>
      <c r="U15" t="s">
        <v>38</v>
      </c>
      <c r="V15">
        <v>3.0941649409185E-2</v>
      </c>
      <c r="W15">
        <v>176.016914075496</v>
      </c>
      <c r="X15" t="s">
        <v>39</v>
      </c>
      <c r="Y15" t="s">
        <v>40</v>
      </c>
      <c r="Z15">
        <v>1</v>
      </c>
      <c r="AA15">
        <v>191.40670570674999</v>
      </c>
      <c r="AB15">
        <v>16418</v>
      </c>
      <c r="AC15" t="s">
        <v>41</v>
      </c>
      <c r="AD15">
        <v>1</v>
      </c>
      <c r="AE15" t="s">
        <v>42</v>
      </c>
      <c r="AF15" t="s">
        <v>61</v>
      </c>
    </row>
    <row r="16" spans="1:32" x14ac:dyDescent="0.2">
      <c r="A16" t="s">
        <v>58</v>
      </c>
      <c r="B16" t="s">
        <v>33</v>
      </c>
      <c r="C16" t="s">
        <v>34</v>
      </c>
      <c r="D16" t="s">
        <v>59</v>
      </c>
      <c r="E16" t="s">
        <v>36</v>
      </c>
      <c r="F16">
        <v>2.9935003403563198E-2</v>
      </c>
      <c r="J16">
        <v>8</v>
      </c>
      <c r="O16" s="1">
        <v>45149.699386574073</v>
      </c>
      <c r="P16" s="1">
        <v>45149.699641203704</v>
      </c>
      <c r="Q16" t="s">
        <v>37</v>
      </c>
      <c r="R16">
        <v>60661</v>
      </c>
      <c r="S16">
        <v>0</v>
      </c>
      <c r="U16" t="s">
        <v>38</v>
      </c>
      <c r="V16">
        <v>2.9491388744887999E-2</v>
      </c>
      <c r="W16">
        <v>176.016914075496</v>
      </c>
      <c r="X16" t="s">
        <v>39</v>
      </c>
      <c r="Y16" t="s">
        <v>40</v>
      </c>
      <c r="Z16">
        <v>1</v>
      </c>
      <c r="AA16">
        <v>195.76083852737301</v>
      </c>
      <c r="AB16">
        <v>17361</v>
      </c>
      <c r="AC16" t="s">
        <v>41</v>
      </c>
      <c r="AD16">
        <v>1</v>
      </c>
      <c r="AE16" t="s">
        <v>42</v>
      </c>
      <c r="AF16" t="s">
        <v>62</v>
      </c>
    </row>
    <row r="17" spans="1:32" x14ac:dyDescent="0.2">
      <c r="A17" t="s">
        <v>58</v>
      </c>
      <c r="B17" t="s">
        <v>33</v>
      </c>
      <c r="C17" t="s">
        <v>34</v>
      </c>
      <c r="D17" t="s">
        <v>59</v>
      </c>
      <c r="E17" t="s">
        <v>36</v>
      </c>
      <c r="G17">
        <v>3.0454145667103499E-2</v>
      </c>
      <c r="H17">
        <v>8.4607343571988403E-4</v>
      </c>
      <c r="I17">
        <v>2.7781880502194101E-2</v>
      </c>
      <c r="K17">
        <v>8</v>
      </c>
      <c r="L17">
        <v>0</v>
      </c>
      <c r="M17">
        <v>0</v>
      </c>
      <c r="O17" s="1">
        <v>45149.699386574073</v>
      </c>
      <c r="P17" s="1">
        <v>45149.699641203704</v>
      </c>
      <c r="U17" t="s">
        <v>38</v>
      </c>
      <c r="AC17" t="s">
        <v>41</v>
      </c>
      <c r="AD17">
        <v>1</v>
      </c>
      <c r="AE17" t="s">
        <v>42</v>
      </c>
    </row>
    <row r="18" spans="1:32" x14ac:dyDescent="0.2">
      <c r="A18" t="s">
        <v>63</v>
      </c>
      <c r="B18" t="s">
        <v>33</v>
      </c>
      <c r="C18" t="s">
        <v>34</v>
      </c>
      <c r="D18" t="s">
        <v>64</v>
      </c>
      <c r="E18" t="s">
        <v>36</v>
      </c>
      <c r="F18">
        <v>4.2368982473321298E-2</v>
      </c>
      <c r="J18">
        <v>40</v>
      </c>
      <c r="O18" s="1">
        <v>45149.699907407405</v>
      </c>
      <c r="P18" s="1">
        <v>45149.700162037036</v>
      </c>
      <c r="Q18" t="s">
        <v>37</v>
      </c>
      <c r="R18">
        <v>60662</v>
      </c>
      <c r="S18">
        <v>0</v>
      </c>
      <c r="U18" t="s">
        <v>38</v>
      </c>
      <c r="V18">
        <v>4.1483960304638801E-2</v>
      </c>
      <c r="W18">
        <v>176.016914075496</v>
      </c>
      <c r="X18" t="s">
        <v>39</v>
      </c>
      <c r="Y18" t="s">
        <v>40</v>
      </c>
      <c r="Z18">
        <v>1</v>
      </c>
      <c r="AA18">
        <v>185.30243933850301</v>
      </c>
      <c r="AB18">
        <v>17332</v>
      </c>
      <c r="AC18" t="s">
        <v>41</v>
      </c>
      <c r="AD18">
        <v>1</v>
      </c>
      <c r="AE18" t="s">
        <v>42</v>
      </c>
      <c r="AF18" t="s">
        <v>65</v>
      </c>
    </row>
    <row r="19" spans="1:32" x14ac:dyDescent="0.2">
      <c r="A19" t="s">
        <v>63</v>
      </c>
      <c r="B19" t="s">
        <v>33</v>
      </c>
      <c r="C19" t="s">
        <v>34</v>
      </c>
      <c r="D19" t="s">
        <v>64</v>
      </c>
      <c r="E19" t="s">
        <v>36</v>
      </c>
      <c r="F19">
        <v>4.2814288209916999E-2</v>
      </c>
      <c r="J19">
        <v>40</v>
      </c>
      <c r="O19" s="1">
        <v>45149.700428240743</v>
      </c>
      <c r="P19" s="1">
        <v>45149.700682870367</v>
      </c>
      <c r="Q19" t="s">
        <v>37</v>
      </c>
      <c r="R19">
        <v>60663</v>
      </c>
      <c r="S19">
        <v>0</v>
      </c>
      <c r="U19" t="s">
        <v>38</v>
      </c>
      <c r="V19">
        <v>4.1910697974316298E-2</v>
      </c>
      <c r="W19">
        <v>176.016914075496</v>
      </c>
      <c r="X19" t="s">
        <v>39</v>
      </c>
      <c r="Y19" t="s">
        <v>40</v>
      </c>
      <c r="Z19">
        <v>1</v>
      </c>
      <c r="AA19">
        <v>186.63550177159399</v>
      </c>
      <c r="AB19">
        <v>18611</v>
      </c>
      <c r="AC19" t="s">
        <v>41</v>
      </c>
      <c r="AD19">
        <v>1</v>
      </c>
      <c r="AE19" t="s">
        <v>42</v>
      </c>
      <c r="AF19" t="s">
        <v>66</v>
      </c>
    </row>
    <row r="20" spans="1:32" x14ac:dyDescent="0.2">
      <c r="A20" t="s">
        <v>63</v>
      </c>
      <c r="B20" t="s">
        <v>33</v>
      </c>
      <c r="C20" t="s">
        <v>34</v>
      </c>
      <c r="D20" t="s">
        <v>64</v>
      </c>
      <c r="E20" t="s">
        <v>36</v>
      </c>
      <c r="F20">
        <v>3.9824441192145697E-2</v>
      </c>
      <c r="J20">
        <v>40</v>
      </c>
      <c r="O20" s="1">
        <v>45149.700949074075</v>
      </c>
      <c r="P20" s="1">
        <v>45149.701203703706</v>
      </c>
      <c r="Q20" t="s">
        <v>37</v>
      </c>
      <c r="R20">
        <v>60664</v>
      </c>
      <c r="S20">
        <v>0</v>
      </c>
      <c r="U20" t="s">
        <v>38</v>
      </c>
      <c r="V20">
        <v>3.9041870992078502E-2</v>
      </c>
      <c r="W20">
        <v>176.016914075496</v>
      </c>
      <c r="X20" t="s">
        <v>39</v>
      </c>
      <c r="Y20" t="s">
        <v>40</v>
      </c>
      <c r="Z20">
        <v>1</v>
      </c>
      <c r="AA20">
        <v>178.63475376482501</v>
      </c>
      <c r="AB20">
        <v>15906</v>
      </c>
      <c r="AC20" t="s">
        <v>41</v>
      </c>
      <c r="AD20">
        <v>1</v>
      </c>
      <c r="AE20" t="s">
        <v>42</v>
      </c>
      <c r="AF20" t="s">
        <v>67</v>
      </c>
    </row>
    <row r="21" spans="1:32" x14ac:dyDescent="0.2">
      <c r="A21" t="s">
        <v>63</v>
      </c>
      <c r="B21" t="s">
        <v>33</v>
      </c>
      <c r="C21" t="s">
        <v>34</v>
      </c>
      <c r="D21" t="s">
        <v>64</v>
      </c>
      <c r="E21" t="s">
        <v>36</v>
      </c>
      <c r="G21">
        <v>4.16692372917946E-2</v>
      </c>
      <c r="H21">
        <v>1.6130805270417701E-3</v>
      </c>
      <c r="I21">
        <v>3.8711544340155501E-2</v>
      </c>
      <c r="K21">
        <v>40</v>
      </c>
      <c r="L21">
        <v>0</v>
      </c>
      <c r="M21">
        <v>0</v>
      </c>
      <c r="O21" s="1">
        <v>45149.700949074075</v>
      </c>
      <c r="P21" s="1">
        <v>45149.701203703706</v>
      </c>
      <c r="U21" t="s">
        <v>38</v>
      </c>
      <c r="AC21" t="s">
        <v>41</v>
      </c>
      <c r="AD21">
        <v>1</v>
      </c>
      <c r="AE21" t="s">
        <v>42</v>
      </c>
    </row>
    <row r="22" spans="1:32" x14ac:dyDescent="0.2">
      <c r="A22" t="s">
        <v>68</v>
      </c>
      <c r="B22" t="s">
        <v>33</v>
      </c>
      <c r="C22" t="s">
        <v>34</v>
      </c>
      <c r="D22" t="s">
        <v>69</v>
      </c>
      <c r="E22" t="s">
        <v>36</v>
      </c>
      <c r="F22">
        <v>9.5910899668035204E-2</v>
      </c>
      <c r="J22">
        <v>200</v>
      </c>
      <c r="O22" s="1">
        <v>45149.701469907406</v>
      </c>
      <c r="P22" s="1">
        <v>45149.701724537037</v>
      </c>
      <c r="Q22" t="s">
        <v>37</v>
      </c>
      <c r="R22">
        <v>60665</v>
      </c>
      <c r="S22">
        <v>0</v>
      </c>
      <c r="U22" t="s">
        <v>38</v>
      </c>
      <c r="V22">
        <v>9.1455035879688507E-2</v>
      </c>
      <c r="W22">
        <v>176.016914075496</v>
      </c>
      <c r="X22" t="s">
        <v>39</v>
      </c>
      <c r="Y22" t="s">
        <v>40</v>
      </c>
      <c r="Z22">
        <v>1</v>
      </c>
      <c r="AA22">
        <v>188.72541135878299</v>
      </c>
      <c r="AB22">
        <v>19649</v>
      </c>
      <c r="AC22" t="s">
        <v>41</v>
      </c>
      <c r="AD22">
        <v>1</v>
      </c>
      <c r="AE22" t="s">
        <v>42</v>
      </c>
      <c r="AF22" t="s">
        <v>70</v>
      </c>
    </row>
    <row r="23" spans="1:32" x14ac:dyDescent="0.2">
      <c r="A23" t="s">
        <v>68</v>
      </c>
      <c r="B23" t="s">
        <v>33</v>
      </c>
      <c r="C23" t="s">
        <v>34</v>
      </c>
      <c r="D23" t="s">
        <v>69</v>
      </c>
      <c r="E23" t="s">
        <v>36</v>
      </c>
      <c r="F23">
        <v>9.7093769567740504E-2</v>
      </c>
      <c r="J23">
        <v>200</v>
      </c>
      <c r="O23" s="1">
        <v>45149.701990740738</v>
      </c>
      <c r="P23" s="1">
        <v>45149.702245370368</v>
      </c>
      <c r="Q23" t="s">
        <v>37</v>
      </c>
      <c r="R23">
        <v>60666</v>
      </c>
      <c r="S23">
        <v>0</v>
      </c>
      <c r="U23" t="s">
        <v>38</v>
      </c>
      <c r="V23">
        <v>9.2529091011299094E-2</v>
      </c>
      <c r="W23">
        <v>176.016914075496</v>
      </c>
      <c r="X23" t="s">
        <v>39</v>
      </c>
      <c r="Y23" t="s">
        <v>40</v>
      </c>
      <c r="Z23">
        <v>1</v>
      </c>
      <c r="AA23">
        <v>190.62084457865001</v>
      </c>
      <c r="AB23">
        <v>17789</v>
      </c>
      <c r="AC23" t="s">
        <v>41</v>
      </c>
      <c r="AD23">
        <v>1</v>
      </c>
      <c r="AE23" t="s">
        <v>42</v>
      </c>
      <c r="AF23" t="s">
        <v>71</v>
      </c>
    </row>
    <row r="24" spans="1:32" x14ac:dyDescent="0.2">
      <c r="A24" t="s">
        <v>68</v>
      </c>
      <c r="B24" t="s">
        <v>33</v>
      </c>
      <c r="C24" t="s">
        <v>34</v>
      </c>
      <c r="D24" t="s">
        <v>69</v>
      </c>
      <c r="E24" t="s">
        <v>36</v>
      </c>
      <c r="F24">
        <v>8.8752436613521404E-2</v>
      </c>
      <c r="J24">
        <v>200</v>
      </c>
      <c r="O24" s="1">
        <v>45149.702511574076</v>
      </c>
      <c r="P24" s="1">
        <v>45149.702766203707</v>
      </c>
      <c r="Q24" t="s">
        <v>37</v>
      </c>
      <c r="R24">
        <v>60667</v>
      </c>
      <c r="S24">
        <v>0</v>
      </c>
      <c r="U24" t="s">
        <v>38</v>
      </c>
      <c r="V24">
        <v>8.4927916120576694E-2</v>
      </c>
      <c r="W24">
        <v>176.016914075496</v>
      </c>
      <c r="X24" t="s">
        <v>39</v>
      </c>
      <c r="Y24" t="s">
        <v>40</v>
      </c>
      <c r="Z24">
        <v>1</v>
      </c>
      <c r="AA24">
        <v>187.083821895428</v>
      </c>
      <c r="AB24">
        <v>19075</v>
      </c>
      <c r="AC24" t="s">
        <v>41</v>
      </c>
      <c r="AD24">
        <v>1</v>
      </c>
      <c r="AE24" t="s">
        <v>42</v>
      </c>
      <c r="AF24" t="s">
        <v>72</v>
      </c>
    </row>
    <row r="25" spans="1:32" x14ac:dyDescent="0.2">
      <c r="A25" t="s">
        <v>68</v>
      </c>
      <c r="B25" t="s">
        <v>33</v>
      </c>
      <c r="C25" t="s">
        <v>34</v>
      </c>
      <c r="D25" t="s">
        <v>69</v>
      </c>
      <c r="E25" t="s">
        <v>36</v>
      </c>
      <c r="G25">
        <v>9.3919035283099001E-2</v>
      </c>
      <c r="H25">
        <v>4.5133249006988497E-3</v>
      </c>
      <c r="I25">
        <v>4.8055486165231399E-2</v>
      </c>
      <c r="K25">
        <v>200</v>
      </c>
      <c r="L25">
        <v>0</v>
      </c>
      <c r="M25">
        <v>0</v>
      </c>
      <c r="O25" s="1">
        <v>45149.702511574076</v>
      </c>
      <c r="P25" s="1">
        <v>45149.702766203707</v>
      </c>
      <c r="U25" t="s">
        <v>38</v>
      </c>
      <c r="AC25" t="s">
        <v>41</v>
      </c>
      <c r="AD25">
        <v>1</v>
      </c>
      <c r="AE25" t="s">
        <v>42</v>
      </c>
    </row>
    <row r="26" spans="1:32" x14ac:dyDescent="0.2">
      <c r="A26" t="s">
        <v>73</v>
      </c>
      <c r="B26" t="s">
        <v>33</v>
      </c>
      <c r="C26" t="s">
        <v>34</v>
      </c>
      <c r="D26" t="s">
        <v>74</v>
      </c>
      <c r="E26" t="s">
        <v>36</v>
      </c>
      <c r="F26">
        <v>0.35482845155384901</v>
      </c>
      <c r="J26">
        <v>1000</v>
      </c>
      <c r="O26" s="1">
        <v>45149.703032407408</v>
      </c>
      <c r="P26" s="1">
        <v>45149.703275462962</v>
      </c>
      <c r="Q26" t="s">
        <v>37</v>
      </c>
      <c r="R26">
        <v>60668</v>
      </c>
      <c r="S26">
        <v>0</v>
      </c>
      <c r="U26" t="s">
        <v>38</v>
      </c>
      <c r="V26">
        <v>0.29870626125880201</v>
      </c>
      <c r="W26">
        <v>176.016914075496</v>
      </c>
      <c r="X26" t="s">
        <v>39</v>
      </c>
      <c r="Y26" t="s">
        <v>40</v>
      </c>
      <c r="Z26">
        <v>1</v>
      </c>
      <c r="AA26">
        <v>218.412864962317</v>
      </c>
      <c r="AB26">
        <v>18319</v>
      </c>
      <c r="AC26" t="s">
        <v>41</v>
      </c>
      <c r="AD26">
        <v>1</v>
      </c>
      <c r="AE26" t="s">
        <v>42</v>
      </c>
      <c r="AF26" t="s">
        <v>75</v>
      </c>
    </row>
    <row r="27" spans="1:32" x14ac:dyDescent="0.2">
      <c r="A27" t="s">
        <v>73</v>
      </c>
      <c r="B27" t="s">
        <v>33</v>
      </c>
      <c r="C27" t="s">
        <v>34</v>
      </c>
      <c r="D27" t="s">
        <v>74</v>
      </c>
      <c r="E27" t="s">
        <v>36</v>
      </c>
      <c r="F27">
        <v>0.34693607877446397</v>
      </c>
      <c r="J27">
        <v>1000</v>
      </c>
      <c r="O27" s="1">
        <v>45149.703553240739</v>
      </c>
      <c r="P27" s="1">
        <v>45149.70380787037</v>
      </c>
      <c r="Q27" t="s">
        <v>37</v>
      </c>
      <c r="R27">
        <v>60669</v>
      </c>
      <c r="S27">
        <v>0</v>
      </c>
      <c r="U27" t="s">
        <v>38</v>
      </c>
      <c r="V27">
        <v>0.29314949043544603</v>
      </c>
      <c r="W27">
        <v>176.016914075496</v>
      </c>
      <c r="X27" t="s">
        <v>39</v>
      </c>
      <c r="Y27" t="s">
        <v>40</v>
      </c>
      <c r="Z27">
        <v>1</v>
      </c>
      <c r="AA27">
        <v>213.018277707745</v>
      </c>
      <c r="AB27">
        <v>18349</v>
      </c>
      <c r="AC27" t="s">
        <v>41</v>
      </c>
      <c r="AD27">
        <v>1</v>
      </c>
      <c r="AE27" t="s">
        <v>42</v>
      </c>
      <c r="AF27" t="s">
        <v>76</v>
      </c>
    </row>
    <row r="28" spans="1:32" x14ac:dyDescent="0.2">
      <c r="A28" t="s">
        <v>73</v>
      </c>
      <c r="B28" t="s">
        <v>33</v>
      </c>
      <c r="C28" t="s">
        <v>34</v>
      </c>
      <c r="D28" t="s">
        <v>74</v>
      </c>
      <c r="E28" t="s">
        <v>36</v>
      </c>
      <c r="F28">
        <v>0.37372838566733102</v>
      </c>
      <c r="J28">
        <v>1000</v>
      </c>
      <c r="O28" s="1">
        <v>45149.704074074078</v>
      </c>
      <c r="P28" s="1">
        <v>45149.704328703701</v>
      </c>
      <c r="Q28" t="s">
        <v>37</v>
      </c>
      <c r="R28">
        <v>60670</v>
      </c>
      <c r="S28">
        <v>0</v>
      </c>
      <c r="U28" t="s">
        <v>38</v>
      </c>
      <c r="V28">
        <v>0.31183619840140198</v>
      </c>
      <c r="W28">
        <v>176.016914075496</v>
      </c>
      <c r="X28" t="s">
        <v>39</v>
      </c>
      <c r="Y28" t="s">
        <v>40</v>
      </c>
      <c r="Z28">
        <v>1</v>
      </c>
      <c r="AA28">
        <v>215.79265074583799</v>
      </c>
      <c r="AB28">
        <v>18266</v>
      </c>
      <c r="AC28" t="s">
        <v>41</v>
      </c>
      <c r="AD28">
        <v>1</v>
      </c>
      <c r="AE28" t="s">
        <v>42</v>
      </c>
      <c r="AF28" t="s">
        <v>77</v>
      </c>
    </row>
    <row r="29" spans="1:32" x14ac:dyDescent="0.2">
      <c r="A29" t="s">
        <v>73</v>
      </c>
      <c r="B29" t="s">
        <v>33</v>
      </c>
      <c r="C29" t="s">
        <v>34</v>
      </c>
      <c r="D29" t="s">
        <v>74</v>
      </c>
      <c r="E29" t="s">
        <v>36</v>
      </c>
      <c r="G29">
        <v>0.358497638665215</v>
      </c>
      <c r="H29">
        <v>1.37678657643097E-2</v>
      </c>
      <c r="I29">
        <v>3.8404341561554603E-2</v>
      </c>
      <c r="K29">
        <v>1000</v>
      </c>
      <c r="L29">
        <v>0</v>
      </c>
      <c r="M29">
        <v>0</v>
      </c>
      <c r="O29" s="1">
        <v>45149.704074074078</v>
      </c>
      <c r="P29" s="1">
        <v>45149.704328703701</v>
      </c>
      <c r="U29" t="s">
        <v>38</v>
      </c>
      <c r="AC29" t="s">
        <v>41</v>
      </c>
      <c r="AD29">
        <v>1</v>
      </c>
      <c r="AE29" t="s">
        <v>42</v>
      </c>
    </row>
    <row r="30" spans="1:32" x14ac:dyDescent="0.2">
      <c r="A30" t="s">
        <v>78</v>
      </c>
      <c r="B30" t="s">
        <v>33</v>
      </c>
      <c r="C30" t="s">
        <v>34</v>
      </c>
      <c r="D30" t="s">
        <v>79</v>
      </c>
      <c r="E30" t="s">
        <v>36</v>
      </c>
      <c r="F30">
        <v>1.8284944855266201</v>
      </c>
      <c r="J30">
        <v>5000</v>
      </c>
      <c r="O30" s="1">
        <v>45149.704594907409</v>
      </c>
      <c r="P30" s="1">
        <v>45149.70484953704</v>
      </c>
      <c r="Q30" t="s">
        <v>37</v>
      </c>
      <c r="R30">
        <v>60671</v>
      </c>
      <c r="S30">
        <v>0</v>
      </c>
      <c r="U30" t="s">
        <v>38</v>
      </c>
      <c r="V30">
        <v>0.82465041455265398</v>
      </c>
      <c r="W30">
        <v>176.016914075496</v>
      </c>
      <c r="X30" t="s">
        <v>80</v>
      </c>
      <c r="Y30" t="s">
        <v>40</v>
      </c>
      <c r="Z30">
        <v>1</v>
      </c>
      <c r="AA30">
        <v>390.28168914587701</v>
      </c>
      <c r="AB30">
        <v>16162</v>
      </c>
      <c r="AC30" t="s">
        <v>41</v>
      </c>
      <c r="AD30">
        <v>1</v>
      </c>
      <c r="AE30" t="s">
        <v>42</v>
      </c>
      <c r="AF30" t="s">
        <v>81</v>
      </c>
    </row>
    <row r="31" spans="1:32" x14ac:dyDescent="0.2">
      <c r="A31" t="s">
        <v>78</v>
      </c>
      <c r="B31" t="s">
        <v>33</v>
      </c>
      <c r="C31" t="s">
        <v>34</v>
      </c>
      <c r="D31" t="s">
        <v>79</v>
      </c>
      <c r="E31" t="s">
        <v>36</v>
      </c>
      <c r="F31">
        <v>2.0840157185227501</v>
      </c>
      <c r="J31">
        <v>5000</v>
      </c>
      <c r="O31" s="1">
        <v>45149.70511574074</v>
      </c>
      <c r="P31" s="1">
        <v>45149.705370370371</v>
      </c>
      <c r="Q31" t="s">
        <v>37</v>
      </c>
      <c r="R31">
        <v>60672</v>
      </c>
      <c r="S31">
        <v>0</v>
      </c>
      <c r="U31" t="s">
        <v>38</v>
      </c>
      <c r="V31">
        <v>0.83602475634914997</v>
      </c>
      <c r="W31">
        <v>176.016914075496</v>
      </c>
      <c r="X31" t="s">
        <v>80</v>
      </c>
      <c r="Y31" t="s">
        <v>40</v>
      </c>
      <c r="Z31">
        <v>1</v>
      </c>
      <c r="AA31">
        <v>438.769322168261</v>
      </c>
      <c r="AB31">
        <v>14057</v>
      </c>
      <c r="AC31" t="s">
        <v>41</v>
      </c>
      <c r="AD31">
        <v>1</v>
      </c>
      <c r="AE31" t="s">
        <v>42</v>
      </c>
      <c r="AF31" t="s">
        <v>82</v>
      </c>
    </row>
    <row r="32" spans="1:32" x14ac:dyDescent="0.2">
      <c r="A32" t="s">
        <v>78</v>
      </c>
      <c r="B32" t="s">
        <v>33</v>
      </c>
      <c r="C32" t="s">
        <v>34</v>
      </c>
      <c r="D32" t="s">
        <v>79</v>
      </c>
      <c r="E32" t="s">
        <v>36</v>
      </c>
      <c r="F32">
        <v>1.9830204830039699</v>
      </c>
      <c r="J32">
        <v>5000</v>
      </c>
      <c r="O32" s="1">
        <v>45149.705636574072</v>
      </c>
      <c r="P32" s="1">
        <v>45149.705891203703</v>
      </c>
      <c r="Q32" t="s">
        <v>37</v>
      </c>
      <c r="R32">
        <v>60673</v>
      </c>
      <c r="S32">
        <v>0</v>
      </c>
      <c r="U32" t="s">
        <v>38</v>
      </c>
      <c r="V32">
        <v>0.82158034528552504</v>
      </c>
      <c r="W32">
        <v>176.016914075496</v>
      </c>
      <c r="X32" t="s">
        <v>80</v>
      </c>
      <c r="Y32" t="s">
        <v>40</v>
      </c>
      <c r="Z32">
        <v>1</v>
      </c>
      <c r="AA32">
        <v>424.84602750027301</v>
      </c>
      <c r="AB32">
        <v>15060</v>
      </c>
      <c r="AC32" t="s">
        <v>41</v>
      </c>
      <c r="AD32">
        <v>1</v>
      </c>
      <c r="AE32" t="s">
        <v>42</v>
      </c>
      <c r="AF32" t="s">
        <v>83</v>
      </c>
    </row>
    <row r="33" spans="1:32" x14ac:dyDescent="0.2">
      <c r="A33" t="s">
        <v>78</v>
      </c>
      <c r="B33" t="s">
        <v>33</v>
      </c>
      <c r="C33" t="s">
        <v>34</v>
      </c>
      <c r="D33" t="s">
        <v>79</v>
      </c>
      <c r="E33" t="s">
        <v>36</v>
      </c>
      <c r="G33">
        <v>1.96517689568445</v>
      </c>
      <c r="H33">
        <v>0.12869176482700001</v>
      </c>
      <c r="I33">
        <v>6.5486097007148997E-2</v>
      </c>
      <c r="K33">
        <v>5000</v>
      </c>
      <c r="L33">
        <v>0</v>
      </c>
      <c r="M33">
        <v>0</v>
      </c>
      <c r="O33" s="1">
        <v>45149.705636574072</v>
      </c>
      <c r="P33" s="1">
        <v>45149.705891203703</v>
      </c>
      <c r="U33" t="s">
        <v>38</v>
      </c>
      <c r="AC33" t="s">
        <v>41</v>
      </c>
      <c r="AD33">
        <v>1</v>
      </c>
      <c r="AE33" t="s">
        <v>42</v>
      </c>
    </row>
    <row r="34" spans="1:32" x14ac:dyDescent="0.2">
      <c r="A34" t="s">
        <v>84</v>
      </c>
      <c r="B34" t="s">
        <v>33</v>
      </c>
      <c r="C34" t="s">
        <v>34</v>
      </c>
      <c r="D34" t="s">
        <v>85</v>
      </c>
      <c r="E34" t="s">
        <v>36</v>
      </c>
      <c r="F34">
        <v>6.1777044943449301E-2</v>
      </c>
      <c r="J34">
        <v>107.486055901383</v>
      </c>
      <c r="O34" s="1">
        <v>45149.708761574075</v>
      </c>
      <c r="P34" s="1">
        <v>45149.709004629629</v>
      </c>
      <c r="Q34" t="s">
        <v>37</v>
      </c>
      <c r="R34">
        <v>60674</v>
      </c>
      <c r="S34">
        <v>0</v>
      </c>
      <c r="U34" t="s">
        <v>38</v>
      </c>
      <c r="V34">
        <v>5.99075382047001E-2</v>
      </c>
      <c r="W34">
        <v>176.016914075496</v>
      </c>
      <c r="X34" t="s">
        <v>39</v>
      </c>
      <c r="Y34" t="s">
        <v>40</v>
      </c>
      <c r="Z34">
        <v>1</v>
      </c>
      <c r="AA34">
        <v>278.02250486096898</v>
      </c>
      <c r="AB34">
        <v>15574</v>
      </c>
      <c r="AC34" t="s">
        <v>86</v>
      </c>
      <c r="AD34">
        <v>1</v>
      </c>
      <c r="AE34" t="s">
        <v>42</v>
      </c>
      <c r="AF34" t="s">
        <v>87</v>
      </c>
    </row>
    <row r="35" spans="1:32" x14ac:dyDescent="0.2">
      <c r="A35" t="s">
        <v>84</v>
      </c>
      <c r="B35" t="s">
        <v>33</v>
      </c>
      <c r="C35" t="s">
        <v>34</v>
      </c>
      <c r="D35" t="s">
        <v>85</v>
      </c>
      <c r="E35" t="s">
        <v>36</v>
      </c>
      <c r="F35">
        <v>6.2153123245822298E-2</v>
      </c>
      <c r="J35">
        <v>108.635802840963</v>
      </c>
      <c r="O35" s="1">
        <v>45149.709282407406</v>
      </c>
      <c r="P35" s="1">
        <v>45149.709537037037</v>
      </c>
      <c r="Q35" t="s">
        <v>37</v>
      </c>
      <c r="R35">
        <v>60675</v>
      </c>
      <c r="S35">
        <v>0</v>
      </c>
      <c r="U35" t="s">
        <v>38</v>
      </c>
      <c r="V35">
        <v>6.0261020109202298E-2</v>
      </c>
      <c r="W35">
        <v>176.016914075496</v>
      </c>
      <c r="X35" t="s">
        <v>39</v>
      </c>
      <c r="Y35" t="s">
        <v>40</v>
      </c>
      <c r="Z35">
        <v>1</v>
      </c>
      <c r="AA35">
        <v>255.686360001183</v>
      </c>
      <c r="AB35">
        <v>15018</v>
      </c>
      <c r="AC35" t="s">
        <v>86</v>
      </c>
      <c r="AD35">
        <v>1</v>
      </c>
      <c r="AE35" t="s">
        <v>42</v>
      </c>
      <c r="AF35" t="s">
        <v>88</v>
      </c>
    </row>
    <row r="36" spans="1:32" x14ac:dyDescent="0.2">
      <c r="A36" t="s">
        <v>84</v>
      </c>
      <c r="B36" t="s">
        <v>33</v>
      </c>
      <c r="C36" t="s">
        <v>34</v>
      </c>
      <c r="D36" t="s">
        <v>85</v>
      </c>
      <c r="E36" t="s">
        <v>36</v>
      </c>
      <c r="F36">
        <v>6.4265921342412102E-2</v>
      </c>
      <c r="J36">
        <v>115.084137583851</v>
      </c>
      <c r="O36" s="1">
        <v>45149.709803240738</v>
      </c>
      <c r="P36" s="1">
        <v>45149.710057870368</v>
      </c>
      <c r="Q36" t="s">
        <v>37</v>
      </c>
      <c r="R36">
        <v>60676</v>
      </c>
      <c r="S36">
        <v>0</v>
      </c>
      <c r="U36" t="s">
        <v>38</v>
      </c>
      <c r="V36">
        <v>6.2244402855756602E-2</v>
      </c>
      <c r="W36">
        <v>176.016914075496</v>
      </c>
      <c r="X36" t="s">
        <v>39</v>
      </c>
      <c r="Y36" t="s">
        <v>40</v>
      </c>
      <c r="Z36">
        <v>1</v>
      </c>
      <c r="AA36">
        <v>275.13146196509302</v>
      </c>
      <c r="AB36">
        <v>14427</v>
      </c>
      <c r="AC36" t="s">
        <v>86</v>
      </c>
      <c r="AD36">
        <v>1</v>
      </c>
      <c r="AE36" t="s">
        <v>42</v>
      </c>
      <c r="AF36" t="s">
        <v>89</v>
      </c>
    </row>
    <row r="37" spans="1:32" x14ac:dyDescent="0.2">
      <c r="A37" t="s">
        <v>84</v>
      </c>
      <c r="B37" t="s">
        <v>33</v>
      </c>
      <c r="C37" t="s">
        <v>34</v>
      </c>
      <c r="D37" t="s">
        <v>85</v>
      </c>
      <c r="E37" t="s">
        <v>36</v>
      </c>
      <c r="G37">
        <v>6.2732029843894505E-2</v>
      </c>
      <c r="H37">
        <v>1.3416318680239E-3</v>
      </c>
      <c r="I37">
        <v>2.1386712200489599E-2</v>
      </c>
      <c r="K37">
        <v>110.40199877539899</v>
      </c>
      <c r="L37">
        <v>4.09539953758817</v>
      </c>
      <c r="M37">
        <v>3.7095338698711601E-2</v>
      </c>
      <c r="O37" s="1">
        <v>45149.709803240738</v>
      </c>
      <c r="P37" s="1">
        <v>45149.710057870368</v>
      </c>
      <c r="U37" t="s">
        <v>38</v>
      </c>
      <c r="AC37" t="s">
        <v>86</v>
      </c>
      <c r="AD37">
        <v>1</v>
      </c>
      <c r="AE37" t="s">
        <v>42</v>
      </c>
    </row>
    <row r="38" spans="1:32" x14ac:dyDescent="0.2">
      <c r="A38" t="s">
        <v>90</v>
      </c>
      <c r="B38" t="s">
        <v>33</v>
      </c>
      <c r="C38" t="s">
        <v>34</v>
      </c>
      <c r="D38" t="s">
        <v>91</v>
      </c>
      <c r="E38" t="s">
        <v>36</v>
      </c>
      <c r="F38">
        <v>7.9032149919264605E-2</v>
      </c>
      <c r="J38">
        <v>159.70732798429299</v>
      </c>
      <c r="O38" s="1">
        <v>45149.710324074076</v>
      </c>
      <c r="P38" s="1">
        <v>45149.710578703707</v>
      </c>
      <c r="Q38" t="s">
        <v>37</v>
      </c>
      <c r="R38">
        <v>60677</v>
      </c>
      <c r="S38">
        <v>0</v>
      </c>
      <c r="U38" t="s">
        <v>38</v>
      </c>
      <c r="V38">
        <v>7.5989782886334595E-2</v>
      </c>
      <c r="W38">
        <v>176.016914075496</v>
      </c>
      <c r="X38" t="s">
        <v>39</v>
      </c>
      <c r="Y38" t="s">
        <v>40</v>
      </c>
      <c r="Z38">
        <v>1</v>
      </c>
      <c r="AA38">
        <v>272.37620164891803</v>
      </c>
      <c r="AB38">
        <v>15660</v>
      </c>
      <c r="AC38" t="s">
        <v>86</v>
      </c>
      <c r="AD38">
        <v>1</v>
      </c>
      <c r="AE38" t="s">
        <v>42</v>
      </c>
      <c r="AF38" t="s">
        <v>92</v>
      </c>
    </row>
    <row r="39" spans="1:32" x14ac:dyDescent="0.2">
      <c r="A39" t="s">
        <v>90</v>
      </c>
      <c r="B39" t="s">
        <v>33</v>
      </c>
      <c r="C39" t="s">
        <v>34</v>
      </c>
      <c r="D39" t="s">
        <v>91</v>
      </c>
      <c r="E39" t="s">
        <v>36</v>
      </c>
      <c r="F39">
        <v>9.0993275260631001E-2</v>
      </c>
      <c r="J39">
        <v>195.396858238655</v>
      </c>
      <c r="O39" s="1">
        <v>45149.710844907408</v>
      </c>
      <c r="P39" s="1">
        <v>45149.711087962962</v>
      </c>
      <c r="Q39" t="s">
        <v>37</v>
      </c>
      <c r="R39">
        <v>60678</v>
      </c>
      <c r="S39">
        <v>0</v>
      </c>
      <c r="U39" t="s">
        <v>38</v>
      </c>
      <c r="V39">
        <v>8.69761492739448E-2</v>
      </c>
      <c r="W39">
        <v>176.016914075496</v>
      </c>
      <c r="X39" t="s">
        <v>39</v>
      </c>
      <c r="Y39" t="s">
        <v>40</v>
      </c>
      <c r="Z39">
        <v>1</v>
      </c>
      <c r="AA39">
        <v>286.09663255580199</v>
      </c>
      <c r="AB39">
        <v>13291</v>
      </c>
      <c r="AC39" t="s">
        <v>86</v>
      </c>
      <c r="AD39">
        <v>1</v>
      </c>
      <c r="AE39" t="s">
        <v>42</v>
      </c>
      <c r="AF39" t="s">
        <v>93</v>
      </c>
    </row>
    <row r="40" spans="1:32" x14ac:dyDescent="0.2">
      <c r="A40" t="s">
        <v>90</v>
      </c>
      <c r="B40" t="s">
        <v>33</v>
      </c>
      <c r="C40" t="s">
        <v>34</v>
      </c>
      <c r="D40" t="s">
        <v>91</v>
      </c>
      <c r="E40" t="s">
        <v>36</v>
      </c>
      <c r="F40">
        <v>7.9131846071204298E-2</v>
      </c>
      <c r="J40">
        <v>160.00631400355701</v>
      </c>
      <c r="O40" s="1">
        <v>45149.711365740739</v>
      </c>
      <c r="P40" s="1">
        <v>45149.711608796293</v>
      </c>
      <c r="Q40" t="s">
        <v>37</v>
      </c>
      <c r="R40">
        <v>60679</v>
      </c>
      <c r="S40">
        <v>0</v>
      </c>
      <c r="U40" t="s">
        <v>38</v>
      </c>
      <c r="V40">
        <v>7.6081898557468594E-2</v>
      </c>
      <c r="W40">
        <v>176.016914075496</v>
      </c>
      <c r="X40" t="s">
        <v>39</v>
      </c>
      <c r="Y40" t="s">
        <v>40</v>
      </c>
      <c r="Z40">
        <v>1</v>
      </c>
      <c r="AA40">
        <v>276.87427863570201</v>
      </c>
      <c r="AB40">
        <v>17192</v>
      </c>
      <c r="AC40" t="s">
        <v>86</v>
      </c>
      <c r="AD40">
        <v>1</v>
      </c>
      <c r="AE40" t="s">
        <v>42</v>
      </c>
      <c r="AF40" t="s">
        <v>94</v>
      </c>
    </row>
    <row r="41" spans="1:32" x14ac:dyDescent="0.2">
      <c r="A41" t="s">
        <v>90</v>
      </c>
      <c r="B41" t="s">
        <v>33</v>
      </c>
      <c r="C41" t="s">
        <v>34</v>
      </c>
      <c r="D41" t="s">
        <v>91</v>
      </c>
      <c r="E41" t="s">
        <v>36</v>
      </c>
      <c r="G41">
        <v>8.3052423750366602E-2</v>
      </c>
      <c r="H41">
        <v>6.8771597961461697E-3</v>
      </c>
      <c r="I41">
        <v>8.2805046326126105E-2</v>
      </c>
      <c r="K41">
        <v>171.70350007550201</v>
      </c>
      <c r="L41">
        <v>20.5195946340448</v>
      </c>
      <c r="M41">
        <v>0.11950597760105</v>
      </c>
      <c r="O41" s="1">
        <v>45149.711365740739</v>
      </c>
      <c r="P41" s="1">
        <v>45149.711608796293</v>
      </c>
      <c r="U41" t="s">
        <v>38</v>
      </c>
      <c r="AC41" t="s">
        <v>86</v>
      </c>
      <c r="AD41">
        <v>1</v>
      </c>
      <c r="AE41" t="s">
        <v>42</v>
      </c>
    </row>
    <row r="42" spans="1:32" x14ac:dyDescent="0.2">
      <c r="A42" t="s">
        <v>95</v>
      </c>
      <c r="B42" t="s">
        <v>33</v>
      </c>
      <c r="C42" t="s">
        <v>34</v>
      </c>
      <c r="D42" t="s">
        <v>96</v>
      </c>
      <c r="E42" t="s">
        <v>36</v>
      </c>
      <c r="F42">
        <v>4.5336825674195898E-2</v>
      </c>
      <c r="J42">
        <v>56.499099758150003</v>
      </c>
      <c r="O42" s="1">
        <v>45149.711886574078</v>
      </c>
      <c r="P42" s="1">
        <v>45149.712141203701</v>
      </c>
      <c r="Q42" t="s">
        <v>37</v>
      </c>
      <c r="R42">
        <v>60680</v>
      </c>
      <c r="S42">
        <v>0</v>
      </c>
      <c r="U42" t="s">
        <v>38</v>
      </c>
      <c r="V42">
        <v>4.4324468439645402E-2</v>
      </c>
      <c r="W42">
        <v>176.016914075496</v>
      </c>
      <c r="X42" t="s">
        <v>39</v>
      </c>
      <c r="Y42" t="s">
        <v>40</v>
      </c>
      <c r="Z42">
        <v>1</v>
      </c>
      <c r="AA42">
        <v>246.138358406891</v>
      </c>
      <c r="AB42">
        <v>15003</v>
      </c>
      <c r="AC42" t="s">
        <v>86</v>
      </c>
      <c r="AD42">
        <v>1</v>
      </c>
      <c r="AE42" t="s">
        <v>42</v>
      </c>
      <c r="AF42" t="s">
        <v>97</v>
      </c>
    </row>
    <row r="43" spans="1:32" x14ac:dyDescent="0.2">
      <c r="A43" t="s">
        <v>95</v>
      </c>
      <c r="B43" t="s">
        <v>33</v>
      </c>
      <c r="C43" t="s">
        <v>34</v>
      </c>
      <c r="D43" t="s">
        <v>96</v>
      </c>
      <c r="E43" t="s">
        <v>36</v>
      </c>
      <c r="F43">
        <v>4.9578770427673002E-2</v>
      </c>
      <c r="J43">
        <v>69.815533908331204</v>
      </c>
      <c r="O43" s="1">
        <v>45149.712407407409</v>
      </c>
      <c r="P43" s="1">
        <v>45149.712650462963</v>
      </c>
      <c r="Q43" t="s">
        <v>37</v>
      </c>
      <c r="R43">
        <v>60681</v>
      </c>
      <c r="S43">
        <v>0</v>
      </c>
      <c r="U43" t="s">
        <v>38</v>
      </c>
      <c r="V43">
        <v>4.8369805133379601E-2</v>
      </c>
      <c r="W43">
        <v>176.016914075496</v>
      </c>
      <c r="X43" t="s">
        <v>39</v>
      </c>
      <c r="Y43" t="s">
        <v>40</v>
      </c>
      <c r="Z43">
        <v>1</v>
      </c>
      <c r="AA43">
        <v>247.31036810444499</v>
      </c>
      <c r="AB43">
        <v>15857</v>
      </c>
      <c r="AC43" t="s">
        <v>86</v>
      </c>
      <c r="AD43">
        <v>1</v>
      </c>
      <c r="AE43" t="s">
        <v>42</v>
      </c>
      <c r="AF43" t="s">
        <v>98</v>
      </c>
    </row>
    <row r="44" spans="1:32" x14ac:dyDescent="0.2">
      <c r="A44" t="s">
        <v>95</v>
      </c>
      <c r="B44" t="s">
        <v>33</v>
      </c>
      <c r="C44" t="s">
        <v>34</v>
      </c>
      <c r="D44" t="s">
        <v>96</v>
      </c>
      <c r="E44" t="s">
        <v>36</v>
      </c>
      <c r="F44">
        <v>5.2926104049553203E-2</v>
      </c>
      <c r="J44">
        <v>80.234512818917295</v>
      </c>
      <c r="O44" s="1">
        <v>45149.71292824074</v>
      </c>
      <c r="P44" s="1">
        <v>45149.713171296295</v>
      </c>
      <c r="Q44" t="s">
        <v>37</v>
      </c>
      <c r="R44">
        <v>60682</v>
      </c>
      <c r="S44">
        <v>0</v>
      </c>
      <c r="U44" t="s">
        <v>38</v>
      </c>
      <c r="V44">
        <v>5.1549903485863503E-2</v>
      </c>
      <c r="W44">
        <v>176.016914075496</v>
      </c>
      <c r="X44" t="s">
        <v>39</v>
      </c>
      <c r="Y44" t="s">
        <v>40</v>
      </c>
      <c r="Z44">
        <v>1</v>
      </c>
      <c r="AA44">
        <v>244.83805347226399</v>
      </c>
      <c r="AB44">
        <v>17614</v>
      </c>
      <c r="AC44" t="s">
        <v>86</v>
      </c>
      <c r="AD44">
        <v>1</v>
      </c>
      <c r="AE44" t="s">
        <v>42</v>
      </c>
      <c r="AF44" t="s">
        <v>99</v>
      </c>
    </row>
    <row r="45" spans="1:32" x14ac:dyDescent="0.2">
      <c r="A45" t="s">
        <v>95</v>
      </c>
      <c r="B45" t="s">
        <v>33</v>
      </c>
      <c r="C45" t="s">
        <v>34</v>
      </c>
      <c r="D45" t="s">
        <v>96</v>
      </c>
      <c r="E45" t="s">
        <v>36</v>
      </c>
      <c r="G45">
        <v>4.9280566717140699E-2</v>
      </c>
      <c r="H45">
        <v>3.8034169708826399E-3</v>
      </c>
      <c r="I45">
        <v>7.7178839941378696E-2</v>
      </c>
      <c r="K45">
        <v>68.849715495132799</v>
      </c>
      <c r="L45">
        <v>11.897145128003</v>
      </c>
      <c r="M45">
        <v>0.17279875512113099</v>
      </c>
      <c r="O45" s="1">
        <v>45149.71292824074</v>
      </c>
      <c r="P45" s="1">
        <v>45149.713171296295</v>
      </c>
      <c r="U45" t="s">
        <v>38</v>
      </c>
      <c r="AC45" t="s">
        <v>86</v>
      </c>
      <c r="AD45">
        <v>1</v>
      </c>
      <c r="AE45" t="s">
        <v>42</v>
      </c>
    </row>
    <row r="46" spans="1:32" x14ac:dyDescent="0.2">
      <c r="A46" t="s">
        <v>100</v>
      </c>
      <c r="B46" t="s">
        <v>33</v>
      </c>
      <c r="C46" t="s">
        <v>34</v>
      </c>
      <c r="D46" t="s">
        <v>101</v>
      </c>
      <c r="E46" t="s">
        <v>36</v>
      </c>
      <c r="F46">
        <v>0.50875462734869004</v>
      </c>
      <c r="J46">
        <v>1361.12713382843</v>
      </c>
      <c r="O46" s="1">
        <v>45149.713449074072</v>
      </c>
      <c r="P46" s="1">
        <v>45149.713703703703</v>
      </c>
      <c r="Q46" t="s">
        <v>37</v>
      </c>
      <c r="R46">
        <v>60683</v>
      </c>
      <c r="S46">
        <v>0</v>
      </c>
      <c r="U46" t="s">
        <v>38</v>
      </c>
      <c r="V46">
        <v>0.82848771692585099</v>
      </c>
      <c r="W46">
        <v>176.016914075496</v>
      </c>
      <c r="X46" t="s">
        <v>80</v>
      </c>
      <c r="Y46" t="s">
        <v>40</v>
      </c>
      <c r="Z46">
        <v>1</v>
      </c>
      <c r="AA46">
        <v>108.08780588784499</v>
      </c>
      <c r="AB46">
        <v>13311</v>
      </c>
      <c r="AC46" t="s">
        <v>86</v>
      </c>
      <c r="AD46">
        <v>1</v>
      </c>
      <c r="AE46" t="s">
        <v>42</v>
      </c>
      <c r="AF46" t="s">
        <v>102</v>
      </c>
    </row>
    <row r="47" spans="1:32" x14ac:dyDescent="0.2">
      <c r="A47" t="s">
        <v>100</v>
      </c>
      <c r="B47" t="s">
        <v>33</v>
      </c>
      <c r="C47" t="s">
        <v>34</v>
      </c>
      <c r="D47" t="s">
        <v>101</v>
      </c>
      <c r="E47" t="s">
        <v>36</v>
      </c>
      <c r="F47">
        <v>0.497560948573883</v>
      </c>
      <c r="J47">
        <v>1330.8741011413499</v>
      </c>
      <c r="O47" s="1">
        <v>45149.713969907411</v>
      </c>
      <c r="P47" s="1">
        <v>45149.714224537034</v>
      </c>
      <c r="Q47" t="s">
        <v>37</v>
      </c>
      <c r="R47">
        <v>60684</v>
      </c>
      <c r="S47">
        <v>0</v>
      </c>
      <c r="U47" t="s">
        <v>38</v>
      </c>
      <c r="V47">
        <v>0.81663698426832898</v>
      </c>
      <c r="W47">
        <v>176.016914075496</v>
      </c>
      <c r="X47" t="s">
        <v>80</v>
      </c>
      <c r="Y47" t="s">
        <v>40</v>
      </c>
      <c r="Z47">
        <v>1</v>
      </c>
      <c r="AA47">
        <v>107.24366446728899</v>
      </c>
      <c r="AB47">
        <v>13476</v>
      </c>
      <c r="AC47" t="s">
        <v>86</v>
      </c>
      <c r="AD47">
        <v>1</v>
      </c>
      <c r="AE47" t="s">
        <v>42</v>
      </c>
      <c r="AF47" t="s">
        <v>103</v>
      </c>
    </row>
    <row r="48" spans="1:32" x14ac:dyDescent="0.2">
      <c r="A48" t="s">
        <v>100</v>
      </c>
      <c r="B48" t="s">
        <v>33</v>
      </c>
      <c r="C48" t="s">
        <v>34</v>
      </c>
      <c r="D48" t="s">
        <v>101</v>
      </c>
      <c r="E48" t="s">
        <v>36</v>
      </c>
      <c r="F48">
        <v>0.53353707430064901</v>
      </c>
      <c r="J48">
        <v>1427.9921578762101</v>
      </c>
      <c r="O48" s="1">
        <v>45149.714490740742</v>
      </c>
      <c r="P48" s="1">
        <v>45149.714745370373</v>
      </c>
      <c r="Q48" t="s">
        <v>37</v>
      </c>
      <c r="R48">
        <v>60685</v>
      </c>
      <c r="S48">
        <v>0</v>
      </c>
      <c r="U48" t="s">
        <v>38</v>
      </c>
      <c r="V48">
        <v>0.83009211873080901</v>
      </c>
      <c r="W48">
        <v>176.016914075496</v>
      </c>
      <c r="X48" t="s">
        <v>80</v>
      </c>
      <c r="Y48" t="s">
        <v>40</v>
      </c>
      <c r="Z48">
        <v>1</v>
      </c>
      <c r="AA48">
        <v>113.133888690399</v>
      </c>
      <c r="AB48">
        <v>14655</v>
      </c>
      <c r="AC48" t="s">
        <v>86</v>
      </c>
      <c r="AD48">
        <v>1</v>
      </c>
      <c r="AE48" t="s">
        <v>42</v>
      </c>
      <c r="AF48" t="s">
        <v>104</v>
      </c>
    </row>
    <row r="49" spans="1:32" x14ac:dyDescent="0.2">
      <c r="A49" t="s">
        <v>100</v>
      </c>
      <c r="B49" t="s">
        <v>33</v>
      </c>
      <c r="C49" t="s">
        <v>34</v>
      </c>
      <c r="D49" t="s">
        <v>101</v>
      </c>
      <c r="E49" t="s">
        <v>36</v>
      </c>
      <c r="G49">
        <v>0.51328421674107405</v>
      </c>
      <c r="H49">
        <v>1.8410819933525901E-2</v>
      </c>
      <c r="I49">
        <v>3.5868665610681E-2</v>
      </c>
      <c r="K49">
        <v>1373.3311309486601</v>
      </c>
      <c r="L49">
        <v>49.695899179632796</v>
      </c>
      <c r="M49">
        <v>3.6186392385428597E-2</v>
      </c>
      <c r="O49" s="1">
        <v>45149.714490740742</v>
      </c>
      <c r="P49" s="1">
        <v>45149.714745370373</v>
      </c>
      <c r="U49" t="s">
        <v>38</v>
      </c>
      <c r="AC49" t="s">
        <v>86</v>
      </c>
      <c r="AD49">
        <v>1</v>
      </c>
      <c r="AE49" t="s">
        <v>42</v>
      </c>
    </row>
    <row r="50" spans="1:32" x14ac:dyDescent="0.2">
      <c r="A50" t="s">
        <v>105</v>
      </c>
      <c r="B50" t="s">
        <v>33</v>
      </c>
      <c r="C50" t="s">
        <v>34</v>
      </c>
      <c r="D50" t="s">
        <v>106</v>
      </c>
      <c r="E50" t="s">
        <v>36</v>
      </c>
      <c r="F50">
        <v>1.1224536377536201</v>
      </c>
      <c r="J50">
        <v>2983.9287970467399</v>
      </c>
      <c r="O50" s="1">
        <v>45149.715011574073</v>
      </c>
      <c r="P50" s="1">
        <v>45149.715266203704</v>
      </c>
      <c r="Q50" t="s">
        <v>37</v>
      </c>
      <c r="R50">
        <v>60686</v>
      </c>
      <c r="S50">
        <v>0</v>
      </c>
      <c r="U50" t="s">
        <v>38</v>
      </c>
      <c r="V50">
        <v>0.99115626370413701</v>
      </c>
      <c r="W50">
        <v>176.016914075496</v>
      </c>
      <c r="X50" t="s">
        <v>80</v>
      </c>
      <c r="Y50" t="s">
        <v>40</v>
      </c>
      <c r="Z50">
        <v>1</v>
      </c>
      <c r="AA50">
        <v>199.33368001110901</v>
      </c>
      <c r="AB50">
        <v>13682</v>
      </c>
      <c r="AC50" t="s">
        <v>86</v>
      </c>
      <c r="AD50">
        <v>1</v>
      </c>
      <c r="AE50" t="s">
        <v>42</v>
      </c>
      <c r="AF50" t="s">
        <v>107</v>
      </c>
    </row>
    <row r="51" spans="1:32" x14ac:dyDescent="0.2">
      <c r="A51" t="s">
        <v>105</v>
      </c>
      <c r="B51" t="s">
        <v>33</v>
      </c>
      <c r="C51" t="s">
        <v>34</v>
      </c>
      <c r="D51" t="s">
        <v>106</v>
      </c>
      <c r="E51" t="s">
        <v>36</v>
      </c>
      <c r="F51">
        <v>1.18375163689818</v>
      </c>
      <c r="J51">
        <v>3143.22029557425</v>
      </c>
      <c r="O51" s="1">
        <v>45149.715532407405</v>
      </c>
      <c r="P51" s="1">
        <v>45149.715787037036</v>
      </c>
      <c r="Q51" t="s">
        <v>37</v>
      </c>
      <c r="R51">
        <v>60687</v>
      </c>
      <c r="S51">
        <v>0</v>
      </c>
      <c r="U51" t="s">
        <v>38</v>
      </c>
      <c r="V51">
        <v>0.99489914212844899</v>
      </c>
      <c r="W51">
        <v>176.016914075496</v>
      </c>
      <c r="X51" t="s">
        <v>80</v>
      </c>
      <c r="Y51" t="s">
        <v>40</v>
      </c>
      <c r="Z51">
        <v>1</v>
      </c>
      <c r="AA51">
        <v>209.428575556792</v>
      </c>
      <c r="AB51">
        <v>12939</v>
      </c>
      <c r="AC51" t="s">
        <v>86</v>
      </c>
      <c r="AD51">
        <v>1</v>
      </c>
      <c r="AE51" t="s">
        <v>42</v>
      </c>
      <c r="AF51" t="s">
        <v>108</v>
      </c>
    </row>
    <row r="52" spans="1:32" x14ac:dyDescent="0.2">
      <c r="A52" t="s">
        <v>105</v>
      </c>
      <c r="B52" t="s">
        <v>33</v>
      </c>
      <c r="C52" t="s">
        <v>34</v>
      </c>
      <c r="D52" t="s">
        <v>106</v>
      </c>
      <c r="E52" t="s">
        <v>36</v>
      </c>
      <c r="F52">
        <v>1.07767838482418</v>
      </c>
      <c r="J52">
        <v>2867.3215870764898</v>
      </c>
      <c r="O52" s="1">
        <v>45149.716053240743</v>
      </c>
      <c r="P52" s="1">
        <v>45149.716307870367</v>
      </c>
      <c r="Q52" t="s">
        <v>37</v>
      </c>
      <c r="R52">
        <v>60688</v>
      </c>
      <c r="S52">
        <v>0</v>
      </c>
      <c r="U52" t="s">
        <v>38</v>
      </c>
      <c r="V52">
        <v>0.98742369640361805</v>
      </c>
      <c r="W52">
        <v>176.016914075496</v>
      </c>
      <c r="X52" t="s">
        <v>80</v>
      </c>
      <c r="Y52" t="s">
        <v>40</v>
      </c>
      <c r="Z52">
        <v>1</v>
      </c>
      <c r="AA52">
        <v>192.10560203639201</v>
      </c>
      <c r="AB52">
        <v>13597</v>
      </c>
      <c r="AC52" t="s">
        <v>86</v>
      </c>
      <c r="AD52">
        <v>1</v>
      </c>
      <c r="AE52" t="s">
        <v>42</v>
      </c>
      <c r="AF52" t="s">
        <v>109</v>
      </c>
    </row>
    <row r="53" spans="1:32" x14ac:dyDescent="0.2">
      <c r="A53" t="s">
        <v>105</v>
      </c>
      <c r="B53" t="s">
        <v>33</v>
      </c>
      <c r="C53" t="s">
        <v>34</v>
      </c>
      <c r="D53" t="s">
        <v>106</v>
      </c>
      <c r="E53" t="s">
        <v>36</v>
      </c>
      <c r="G53">
        <v>1.1279612198253299</v>
      </c>
      <c r="H53">
        <v>5.3250669447400999E-2</v>
      </c>
      <c r="I53">
        <v>4.7209663338999702E-2</v>
      </c>
      <c r="K53">
        <v>2998.1568932324899</v>
      </c>
      <c r="L53">
        <v>138.49856814597999</v>
      </c>
      <c r="M53">
        <v>4.61945698901223E-2</v>
      </c>
      <c r="O53" s="1">
        <v>45149.716053240743</v>
      </c>
      <c r="P53" s="1">
        <v>45149.716307870367</v>
      </c>
      <c r="U53" t="s">
        <v>38</v>
      </c>
      <c r="AC53" t="s">
        <v>86</v>
      </c>
      <c r="AD53">
        <v>1</v>
      </c>
      <c r="AE53" t="s">
        <v>42</v>
      </c>
    </row>
    <row r="54" spans="1:32" x14ac:dyDescent="0.2">
      <c r="A54" t="s">
        <v>110</v>
      </c>
      <c r="B54" t="s">
        <v>33</v>
      </c>
      <c r="C54" t="s">
        <v>34</v>
      </c>
      <c r="D54" t="s">
        <v>111</v>
      </c>
      <c r="E54" t="s">
        <v>36</v>
      </c>
      <c r="F54">
        <v>0.57332601566262897</v>
      </c>
      <c r="J54">
        <v>1535.03392945526</v>
      </c>
      <c r="O54" s="1">
        <v>45149.716574074075</v>
      </c>
      <c r="P54" s="1">
        <v>45149.716828703706</v>
      </c>
      <c r="Q54" t="s">
        <v>37</v>
      </c>
      <c r="R54">
        <v>60689</v>
      </c>
      <c r="S54">
        <v>0</v>
      </c>
      <c r="U54" t="s">
        <v>38</v>
      </c>
      <c r="V54">
        <v>0.87352668520725696</v>
      </c>
      <c r="W54">
        <v>176.016914075496</v>
      </c>
      <c r="X54" t="s">
        <v>80</v>
      </c>
      <c r="Y54" t="s">
        <v>40</v>
      </c>
      <c r="Z54">
        <v>1</v>
      </c>
      <c r="AA54">
        <v>115.526036863077</v>
      </c>
      <c r="AB54">
        <v>15102</v>
      </c>
      <c r="AC54" t="s">
        <v>86</v>
      </c>
      <c r="AD54">
        <v>1</v>
      </c>
      <c r="AE54" t="s">
        <v>42</v>
      </c>
      <c r="AF54" t="s">
        <v>112</v>
      </c>
    </row>
    <row r="55" spans="1:32" x14ac:dyDescent="0.2">
      <c r="A55" t="s">
        <v>110</v>
      </c>
      <c r="B55" t="s">
        <v>33</v>
      </c>
      <c r="C55" t="s">
        <v>34</v>
      </c>
      <c r="D55" t="s">
        <v>111</v>
      </c>
      <c r="E55" t="s">
        <v>36</v>
      </c>
      <c r="F55">
        <v>0.57114327685608501</v>
      </c>
      <c r="J55">
        <v>1529.17138761201</v>
      </c>
      <c r="O55" s="1">
        <v>45149.717094907406</v>
      </c>
      <c r="P55" s="1">
        <v>45149.71733796296</v>
      </c>
      <c r="Q55" t="s">
        <v>37</v>
      </c>
      <c r="R55">
        <v>60690</v>
      </c>
      <c r="S55">
        <v>0</v>
      </c>
      <c r="U55" t="s">
        <v>38</v>
      </c>
      <c r="V55">
        <v>0.87459685069246795</v>
      </c>
      <c r="W55">
        <v>176.016914075496</v>
      </c>
      <c r="X55" t="s">
        <v>80</v>
      </c>
      <c r="Y55" t="s">
        <v>40</v>
      </c>
      <c r="Z55">
        <v>1</v>
      </c>
      <c r="AA55">
        <v>114.94539113373099</v>
      </c>
      <c r="AB55">
        <v>15813</v>
      </c>
      <c r="AC55" t="s">
        <v>86</v>
      </c>
      <c r="AD55">
        <v>1</v>
      </c>
      <c r="AE55" t="s">
        <v>42</v>
      </c>
      <c r="AF55" t="s">
        <v>113</v>
      </c>
    </row>
    <row r="56" spans="1:32" x14ac:dyDescent="0.2">
      <c r="A56" t="s">
        <v>110</v>
      </c>
      <c r="B56" t="s">
        <v>33</v>
      </c>
      <c r="C56" t="s">
        <v>34</v>
      </c>
      <c r="D56" t="s">
        <v>111</v>
      </c>
      <c r="E56" t="s">
        <v>36</v>
      </c>
      <c r="F56">
        <v>0.56941832922569802</v>
      </c>
      <c r="J56">
        <v>1524.5376457050099</v>
      </c>
      <c r="O56" s="1">
        <v>45149.717615740738</v>
      </c>
      <c r="P56" s="1">
        <v>45149.717870370368</v>
      </c>
      <c r="Q56" t="s">
        <v>37</v>
      </c>
      <c r="R56">
        <v>60691</v>
      </c>
      <c r="S56">
        <v>0</v>
      </c>
      <c r="U56" t="s">
        <v>38</v>
      </c>
      <c r="V56">
        <v>0.87326999326700105</v>
      </c>
      <c r="W56">
        <v>176.016914075496</v>
      </c>
      <c r="X56" t="s">
        <v>80</v>
      </c>
      <c r="Y56" t="s">
        <v>40</v>
      </c>
      <c r="Z56">
        <v>1</v>
      </c>
      <c r="AA56">
        <v>114.772358950948</v>
      </c>
      <c r="AB56">
        <v>13367</v>
      </c>
      <c r="AC56" t="s">
        <v>86</v>
      </c>
      <c r="AD56">
        <v>1</v>
      </c>
      <c r="AE56" t="s">
        <v>42</v>
      </c>
      <c r="AF56" t="s">
        <v>114</v>
      </c>
    </row>
    <row r="57" spans="1:32" x14ac:dyDescent="0.2">
      <c r="A57" t="s">
        <v>110</v>
      </c>
      <c r="B57" t="s">
        <v>33</v>
      </c>
      <c r="C57" t="s">
        <v>34</v>
      </c>
      <c r="D57" t="s">
        <v>111</v>
      </c>
      <c r="E57" t="s">
        <v>36</v>
      </c>
      <c r="G57">
        <v>0.57129587391480396</v>
      </c>
      <c r="H57">
        <v>1.9583073607307702E-3</v>
      </c>
      <c r="I57">
        <v>3.42783389509096E-3</v>
      </c>
      <c r="K57">
        <v>1529.5809875907601</v>
      </c>
      <c r="L57">
        <v>5.2601161820272102</v>
      </c>
      <c r="M57">
        <v>3.4389262318907398E-3</v>
      </c>
      <c r="O57" s="1">
        <v>45149.717615740738</v>
      </c>
      <c r="P57" s="1">
        <v>45149.717870370368</v>
      </c>
      <c r="U57" t="s">
        <v>38</v>
      </c>
      <c r="AC57" t="s">
        <v>86</v>
      </c>
      <c r="AD57">
        <v>1</v>
      </c>
      <c r="AE57" t="s">
        <v>42</v>
      </c>
    </row>
    <row r="58" spans="1:32" x14ac:dyDescent="0.2">
      <c r="A58" t="s">
        <v>115</v>
      </c>
      <c r="B58" t="s">
        <v>33</v>
      </c>
      <c r="C58" t="s">
        <v>34</v>
      </c>
      <c r="D58" t="s">
        <v>116</v>
      </c>
      <c r="E58" t="s">
        <v>36</v>
      </c>
      <c r="F58">
        <v>2.83020421625448E-2</v>
      </c>
      <c r="J58">
        <v>0.122186482858001</v>
      </c>
      <c r="O58" s="1">
        <v>45149.718136574076</v>
      </c>
      <c r="P58" s="1">
        <v>45149.71837962963</v>
      </c>
      <c r="Q58" t="s">
        <v>37</v>
      </c>
      <c r="R58">
        <v>60692</v>
      </c>
      <c r="S58">
        <v>0</v>
      </c>
      <c r="U58" t="s">
        <v>38</v>
      </c>
      <c r="V58">
        <v>2.79052911331239E-2</v>
      </c>
      <c r="W58">
        <v>176.016914075496</v>
      </c>
      <c r="X58" t="s">
        <v>39</v>
      </c>
      <c r="Y58" t="s">
        <v>40</v>
      </c>
      <c r="Z58">
        <v>1</v>
      </c>
      <c r="AA58">
        <v>191.94060594148399</v>
      </c>
      <c r="AB58">
        <v>16556</v>
      </c>
      <c r="AC58" t="s">
        <v>86</v>
      </c>
      <c r="AD58">
        <v>1</v>
      </c>
      <c r="AE58" t="s">
        <v>42</v>
      </c>
      <c r="AF58" t="s">
        <v>117</v>
      </c>
    </row>
    <row r="59" spans="1:32" x14ac:dyDescent="0.2">
      <c r="A59" t="s">
        <v>115</v>
      </c>
      <c r="B59" t="s">
        <v>33</v>
      </c>
      <c r="C59" t="s">
        <v>34</v>
      </c>
      <c r="D59" t="s">
        <v>116</v>
      </c>
      <c r="E59" t="s">
        <v>36</v>
      </c>
      <c r="F59">
        <v>3.1420283964259103E-2</v>
      </c>
      <c r="J59">
        <v>11.2752250132291</v>
      </c>
      <c r="O59" s="1">
        <v>45149.718657407408</v>
      </c>
      <c r="P59" s="1">
        <v>45149.718912037039</v>
      </c>
      <c r="Q59" t="s">
        <v>37</v>
      </c>
      <c r="R59">
        <v>60693</v>
      </c>
      <c r="S59">
        <v>0</v>
      </c>
      <c r="U59" t="s">
        <v>38</v>
      </c>
      <c r="V59">
        <v>3.0931796349663799E-2</v>
      </c>
      <c r="W59">
        <v>176.016914075496</v>
      </c>
      <c r="X59" t="s">
        <v>39</v>
      </c>
      <c r="Y59" t="s">
        <v>40</v>
      </c>
      <c r="Z59">
        <v>1</v>
      </c>
      <c r="AA59">
        <v>185.48202423015701</v>
      </c>
      <c r="AB59">
        <v>15615</v>
      </c>
      <c r="AC59" t="s">
        <v>86</v>
      </c>
      <c r="AD59">
        <v>1</v>
      </c>
      <c r="AE59" t="s">
        <v>42</v>
      </c>
      <c r="AF59" t="s">
        <v>118</v>
      </c>
    </row>
    <row r="60" spans="1:32" x14ac:dyDescent="0.2">
      <c r="A60" t="s">
        <v>115</v>
      </c>
      <c r="B60" t="s">
        <v>33</v>
      </c>
      <c r="C60" t="s">
        <v>34</v>
      </c>
      <c r="D60" t="s">
        <v>116</v>
      </c>
      <c r="E60" t="s">
        <v>36</v>
      </c>
      <c r="F60">
        <v>3.3494365967798201E-2</v>
      </c>
      <c r="J60">
        <v>18.2708651897217</v>
      </c>
      <c r="O60" s="1">
        <v>45149.719178240739</v>
      </c>
      <c r="P60" s="1">
        <v>45149.719421296293</v>
      </c>
      <c r="Q60" t="s">
        <v>37</v>
      </c>
      <c r="R60">
        <v>60694</v>
      </c>
      <c r="S60">
        <v>0</v>
      </c>
      <c r="U60" t="s">
        <v>38</v>
      </c>
      <c r="V60">
        <v>3.2939640334738E-2</v>
      </c>
      <c r="W60">
        <v>176.016914075496</v>
      </c>
      <c r="X60" t="s">
        <v>39</v>
      </c>
      <c r="Y60" t="s">
        <v>40</v>
      </c>
      <c r="Z60">
        <v>1</v>
      </c>
      <c r="AA60">
        <v>189.29244323976201</v>
      </c>
      <c r="AB60">
        <v>16849</v>
      </c>
      <c r="AC60" t="s">
        <v>86</v>
      </c>
      <c r="AD60">
        <v>1</v>
      </c>
      <c r="AE60" t="s">
        <v>42</v>
      </c>
      <c r="AF60" t="s">
        <v>119</v>
      </c>
    </row>
    <row r="61" spans="1:32" x14ac:dyDescent="0.2">
      <c r="A61" t="s">
        <v>115</v>
      </c>
      <c r="B61" t="s">
        <v>33</v>
      </c>
      <c r="C61" t="s">
        <v>34</v>
      </c>
      <c r="D61" t="s">
        <v>116</v>
      </c>
      <c r="E61" t="s">
        <v>36</v>
      </c>
      <c r="G61">
        <v>3.1072230698200701E-2</v>
      </c>
      <c r="H61">
        <v>2.6136014293806401E-3</v>
      </c>
      <c r="I61">
        <v>8.4113736627605198E-2</v>
      </c>
      <c r="K61">
        <v>9.8894255619362799</v>
      </c>
      <c r="L61">
        <v>9.1533581155029893</v>
      </c>
      <c r="M61">
        <v>0.92557025260735504</v>
      </c>
      <c r="O61" s="1">
        <v>45149.719178240739</v>
      </c>
      <c r="P61" s="1">
        <v>45149.719421296293</v>
      </c>
      <c r="U61" t="s">
        <v>38</v>
      </c>
      <c r="AC61" t="s">
        <v>86</v>
      </c>
      <c r="AD61">
        <v>1</v>
      </c>
      <c r="AE61" t="s">
        <v>42</v>
      </c>
    </row>
    <row r="62" spans="1:32" x14ac:dyDescent="0.2">
      <c r="A62" t="s">
        <v>120</v>
      </c>
      <c r="B62" t="s">
        <v>33</v>
      </c>
      <c r="C62" t="s">
        <v>34</v>
      </c>
      <c r="D62" t="s">
        <v>121</v>
      </c>
      <c r="E62" t="s">
        <v>36</v>
      </c>
      <c r="F62">
        <v>4.0832512477037002E-2</v>
      </c>
      <c r="J62">
        <v>42.185292708867003</v>
      </c>
      <c r="O62" s="1">
        <v>45149.719699074078</v>
      </c>
      <c r="P62" s="1">
        <v>45149.719988425924</v>
      </c>
      <c r="Q62" t="s">
        <v>37</v>
      </c>
      <c r="R62">
        <v>60695</v>
      </c>
      <c r="S62">
        <v>0</v>
      </c>
      <c r="U62" t="s">
        <v>38</v>
      </c>
      <c r="V62">
        <v>4.0010097185409599E-2</v>
      </c>
      <c r="W62">
        <v>176.016914075496</v>
      </c>
      <c r="X62" t="s">
        <v>39</v>
      </c>
      <c r="Y62" t="s">
        <v>40</v>
      </c>
      <c r="Z62">
        <v>1</v>
      </c>
      <c r="AA62">
        <v>241.08374586005399</v>
      </c>
      <c r="AB62">
        <v>15846</v>
      </c>
      <c r="AC62" t="s">
        <v>86</v>
      </c>
      <c r="AD62">
        <v>1</v>
      </c>
      <c r="AE62" t="s">
        <v>42</v>
      </c>
      <c r="AF62" t="s">
        <v>122</v>
      </c>
    </row>
    <row r="63" spans="1:32" x14ac:dyDescent="0.2">
      <c r="A63" t="s">
        <v>120</v>
      </c>
      <c r="B63" t="s">
        <v>33</v>
      </c>
      <c r="C63" t="s">
        <v>34</v>
      </c>
      <c r="D63" t="s">
        <v>121</v>
      </c>
      <c r="E63" t="s">
        <v>36</v>
      </c>
      <c r="F63">
        <v>4.3920503021099698E-2</v>
      </c>
      <c r="J63">
        <v>52.019958668418802</v>
      </c>
      <c r="O63" s="1">
        <v>45149.720219907409</v>
      </c>
      <c r="P63" s="1">
        <v>45149.72047453704</v>
      </c>
      <c r="Q63" t="s">
        <v>37</v>
      </c>
      <c r="R63">
        <v>60696</v>
      </c>
      <c r="S63">
        <v>0</v>
      </c>
      <c r="U63" t="s">
        <v>38</v>
      </c>
      <c r="V63">
        <v>4.2969964554443102E-2</v>
      </c>
      <c r="W63">
        <v>176.016914075496</v>
      </c>
      <c r="X63" t="s">
        <v>39</v>
      </c>
      <c r="Y63" t="s">
        <v>40</v>
      </c>
      <c r="Z63">
        <v>1</v>
      </c>
      <c r="AA63">
        <v>261.25100416722398</v>
      </c>
      <c r="AB63">
        <v>16081</v>
      </c>
      <c r="AC63" t="s">
        <v>86</v>
      </c>
      <c r="AD63">
        <v>1</v>
      </c>
      <c r="AE63" t="s">
        <v>42</v>
      </c>
      <c r="AF63" t="s">
        <v>123</v>
      </c>
    </row>
    <row r="64" spans="1:32" x14ac:dyDescent="0.2">
      <c r="A64" t="s">
        <v>120</v>
      </c>
      <c r="B64" t="s">
        <v>33</v>
      </c>
      <c r="C64" t="s">
        <v>34</v>
      </c>
      <c r="D64" t="s">
        <v>121</v>
      </c>
      <c r="E64" t="s">
        <v>36</v>
      </c>
      <c r="F64">
        <v>4.6890660561300597E-2</v>
      </c>
      <c r="J64">
        <v>61.3931554988418</v>
      </c>
      <c r="O64" s="1">
        <v>45149.72074074074</v>
      </c>
      <c r="P64" s="1">
        <v>45149.721030092594</v>
      </c>
      <c r="Q64" t="s">
        <v>37</v>
      </c>
      <c r="R64">
        <v>60697</v>
      </c>
      <c r="S64">
        <v>0</v>
      </c>
      <c r="U64" t="s">
        <v>38</v>
      </c>
      <c r="V64">
        <v>4.58082773257871E-2</v>
      </c>
      <c r="W64">
        <v>176.016914075496</v>
      </c>
      <c r="X64" t="s">
        <v>39</v>
      </c>
      <c r="Y64" t="s">
        <v>40</v>
      </c>
      <c r="Z64">
        <v>1</v>
      </c>
      <c r="AA64">
        <v>245.080552387328</v>
      </c>
      <c r="AB64">
        <v>16962</v>
      </c>
      <c r="AC64" t="s">
        <v>86</v>
      </c>
      <c r="AD64">
        <v>1</v>
      </c>
      <c r="AE64" t="s">
        <v>42</v>
      </c>
      <c r="AF64" t="s">
        <v>124</v>
      </c>
    </row>
    <row r="65" spans="1:32" x14ac:dyDescent="0.2">
      <c r="A65" t="s">
        <v>120</v>
      </c>
      <c r="B65" t="s">
        <v>33</v>
      </c>
      <c r="C65" t="s">
        <v>34</v>
      </c>
      <c r="D65" t="s">
        <v>121</v>
      </c>
      <c r="E65" t="s">
        <v>36</v>
      </c>
      <c r="G65">
        <v>4.38812253531458E-2</v>
      </c>
      <c r="H65">
        <v>3.0292650270514099E-3</v>
      </c>
      <c r="I65">
        <v>6.9033282518266098E-2</v>
      </c>
      <c r="K65">
        <v>51.866135625375897</v>
      </c>
      <c r="L65">
        <v>9.6048552506559304</v>
      </c>
      <c r="M65">
        <v>0.18518548056155301</v>
      </c>
      <c r="O65" s="1">
        <v>45149.72074074074</v>
      </c>
      <c r="P65" s="1">
        <v>45149.721030092594</v>
      </c>
      <c r="U65" t="s">
        <v>38</v>
      </c>
      <c r="AC65" t="s">
        <v>86</v>
      </c>
      <c r="AD65">
        <v>1</v>
      </c>
      <c r="AE65" t="s">
        <v>42</v>
      </c>
    </row>
    <row r="66" spans="1:32" x14ac:dyDescent="0.2">
      <c r="A66" t="s">
        <v>125</v>
      </c>
      <c r="B66" t="s">
        <v>33</v>
      </c>
      <c r="C66" t="s">
        <v>34</v>
      </c>
      <c r="D66" t="s">
        <v>126</v>
      </c>
      <c r="E66" t="s">
        <v>36</v>
      </c>
      <c r="F66">
        <v>4.9868519927281703E-2</v>
      </c>
      <c r="J66">
        <v>70.720288479327607</v>
      </c>
      <c r="O66" s="1">
        <v>45149.723865740743</v>
      </c>
      <c r="P66" s="1">
        <v>45149.724108796298</v>
      </c>
      <c r="Q66" t="s">
        <v>37</v>
      </c>
      <c r="R66">
        <v>60698</v>
      </c>
      <c r="S66">
        <v>0</v>
      </c>
      <c r="U66" t="s">
        <v>38</v>
      </c>
      <c r="V66">
        <v>4.8645499563064402E-2</v>
      </c>
      <c r="W66">
        <v>176.016914075496</v>
      </c>
      <c r="X66" t="s">
        <v>39</v>
      </c>
      <c r="Y66" t="s">
        <v>40</v>
      </c>
      <c r="Z66">
        <v>1</v>
      </c>
      <c r="AA66">
        <v>254.489103893508</v>
      </c>
      <c r="AB66">
        <v>13732</v>
      </c>
      <c r="AC66" t="s">
        <v>86</v>
      </c>
      <c r="AD66">
        <v>1</v>
      </c>
      <c r="AE66" t="s">
        <v>42</v>
      </c>
      <c r="AF66" t="s">
        <v>127</v>
      </c>
    </row>
    <row r="67" spans="1:32" x14ac:dyDescent="0.2">
      <c r="A67" t="s">
        <v>125</v>
      </c>
      <c r="B67" t="s">
        <v>33</v>
      </c>
      <c r="C67" t="s">
        <v>34</v>
      </c>
      <c r="D67" t="s">
        <v>126</v>
      </c>
      <c r="E67" t="s">
        <v>36</v>
      </c>
      <c r="F67">
        <v>5.28568635519856E-2</v>
      </c>
      <c r="J67">
        <v>80.019697206481297</v>
      </c>
      <c r="O67" s="1">
        <v>45149.724386574075</v>
      </c>
      <c r="P67" s="1">
        <v>45149.724675925929</v>
      </c>
      <c r="Q67" t="s">
        <v>37</v>
      </c>
      <c r="R67">
        <v>60699</v>
      </c>
      <c r="S67">
        <v>0</v>
      </c>
      <c r="U67" t="s">
        <v>38</v>
      </c>
      <c r="V67">
        <v>5.1484230055658602E-2</v>
      </c>
      <c r="W67">
        <v>176.016914075496</v>
      </c>
      <c r="X67" t="s">
        <v>39</v>
      </c>
      <c r="Y67" t="s">
        <v>40</v>
      </c>
      <c r="Z67">
        <v>1</v>
      </c>
      <c r="AA67">
        <v>270.67803553896999</v>
      </c>
      <c r="AB67">
        <v>15092</v>
      </c>
      <c r="AC67" t="s">
        <v>86</v>
      </c>
      <c r="AD67">
        <v>1</v>
      </c>
      <c r="AE67" t="s">
        <v>42</v>
      </c>
      <c r="AF67" t="s">
        <v>128</v>
      </c>
    </row>
    <row r="68" spans="1:32" x14ac:dyDescent="0.2">
      <c r="A68" t="s">
        <v>125</v>
      </c>
      <c r="B68" t="s">
        <v>33</v>
      </c>
      <c r="C68" t="s">
        <v>34</v>
      </c>
      <c r="D68" t="s">
        <v>126</v>
      </c>
      <c r="E68" t="s">
        <v>36</v>
      </c>
      <c r="F68">
        <v>4.9253684389455099E-2</v>
      </c>
      <c r="J68">
        <v>68.799752759217995</v>
      </c>
      <c r="O68" s="1">
        <v>45149.724907407406</v>
      </c>
      <c r="P68" s="1">
        <v>45149.725162037037</v>
      </c>
      <c r="Q68" t="s">
        <v>37</v>
      </c>
      <c r="R68">
        <v>60700</v>
      </c>
      <c r="S68">
        <v>0</v>
      </c>
      <c r="U68" t="s">
        <v>38</v>
      </c>
      <c r="V68">
        <v>4.8060393153449399E-2</v>
      </c>
      <c r="W68">
        <v>176.016914075496</v>
      </c>
      <c r="X68" t="s">
        <v>39</v>
      </c>
      <c r="Y68" t="s">
        <v>40</v>
      </c>
      <c r="Z68">
        <v>1</v>
      </c>
      <c r="AA68">
        <v>248.135302550673</v>
      </c>
      <c r="AB68">
        <v>13379</v>
      </c>
      <c r="AC68" t="s">
        <v>86</v>
      </c>
      <c r="AD68">
        <v>1</v>
      </c>
      <c r="AE68" t="s">
        <v>42</v>
      </c>
      <c r="AF68" t="s">
        <v>129</v>
      </c>
    </row>
    <row r="69" spans="1:32" x14ac:dyDescent="0.2">
      <c r="A69" t="s">
        <v>125</v>
      </c>
      <c r="B69" t="s">
        <v>33</v>
      </c>
      <c r="C69" t="s">
        <v>34</v>
      </c>
      <c r="D69" t="s">
        <v>126</v>
      </c>
      <c r="E69" t="s">
        <v>36</v>
      </c>
      <c r="G69">
        <v>5.0659689289574102E-2</v>
      </c>
      <c r="H69">
        <v>1.9274819685787699E-3</v>
      </c>
      <c r="I69">
        <v>3.8047646868916998E-2</v>
      </c>
      <c r="K69">
        <v>73.179912815009004</v>
      </c>
      <c r="L69">
        <v>6.0007584732620201</v>
      </c>
      <c r="M69">
        <v>8.2000076830253996E-2</v>
      </c>
      <c r="O69" s="1">
        <v>45149.724907407406</v>
      </c>
      <c r="P69" s="1">
        <v>45149.725162037037</v>
      </c>
      <c r="U69" t="s">
        <v>38</v>
      </c>
      <c r="AC69" t="s">
        <v>86</v>
      </c>
      <c r="AD69">
        <v>1</v>
      </c>
      <c r="AE69" t="s">
        <v>42</v>
      </c>
    </row>
    <row r="70" spans="1:32" x14ac:dyDescent="0.2">
      <c r="A70" t="s">
        <v>130</v>
      </c>
      <c r="B70" t="s">
        <v>33</v>
      </c>
      <c r="C70" t="s">
        <v>34</v>
      </c>
      <c r="D70" t="s">
        <v>131</v>
      </c>
      <c r="E70" t="s">
        <v>36</v>
      </c>
      <c r="F70">
        <v>3.9002961284915802E-2</v>
      </c>
      <c r="J70">
        <v>36.306251188119397</v>
      </c>
      <c r="O70" s="1">
        <v>45149.725428240738</v>
      </c>
      <c r="P70" s="1">
        <v>45149.725717592592</v>
      </c>
      <c r="Q70" t="s">
        <v>37</v>
      </c>
      <c r="R70">
        <v>60701</v>
      </c>
      <c r="S70">
        <v>0</v>
      </c>
      <c r="U70" t="s">
        <v>38</v>
      </c>
      <c r="V70">
        <v>3.8252138867284201E-2</v>
      </c>
      <c r="W70">
        <v>176.016914075496</v>
      </c>
      <c r="X70" t="s">
        <v>39</v>
      </c>
      <c r="Y70" t="s">
        <v>40</v>
      </c>
      <c r="Z70">
        <v>1</v>
      </c>
      <c r="AA70">
        <v>221.57599943450299</v>
      </c>
      <c r="AB70">
        <v>14143</v>
      </c>
      <c r="AC70" t="s">
        <v>86</v>
      </c>
      <c r="AD70">
        <v>1</v>
      </c>
      <c r="AE70" t="s">
        <v>42</v>
      </c>
      <c r="AF70" t="s">
        <v>132</v>
      </c>
    </row>
    <row r="71" spans="1:32" x14ac:dyDescent="0.2">
      <c r="A71" t="s">
        <v>130</v>
      </c>
      <c r="B71" t="s">
        <v>33</v>
      </c>
      <c r="C71" t="s">
        <v>34</v>
      </c>
      <c r="D71" t="s">
        <v>131</v>
      </c>
      <c r="E71" t="s">
        <v>36</v>
      </c>
      <c r="F71">
        <v>4.3867948322657002E-2</v>
      </c>
      <c r="J71">
        <v>51.853398018753701</v>
      </c>
      <c r="O71" s="1">
        <v>45149.725949074076</v>
      </c>
      <c r="P71" s="1">
        <v>45149.726203703707</v>
      </c>
      <c r="Q71" t="s">
        <v>37</v>
      </c>
      <c r="R71">
        <v>60702</v>
      </c>
      <c r="S71">
        <v>0</v>
      </c>
      <c r="U71" t="s">
        <v>38</v>
      </c>
      <c r="V71">
        <v>4.2919666807849803E-2</v>
      </c>
      <c r="W71">
        <v>176.016914075496</v>
      </c>
      <c r="X71" t="s">
        <v>39</v>
      </c>
      <c r="Y71" t="s">
        <v>40</v>
      </c>
      <c r="Z71">
        <v>1</v>
      </c>
      <c r="AA71">
        <v>207.01264709301901</v>
      </c>
      <c r="AB71">
        <v>14166</v>
      </c>
      <c r="AC71" t="s">
        <v>86</v>
      </c>
      <c r="AD71">
        <v>1</v>
      </c>
      <c r="AE71" t="s">
        <v>42</v>
      </c>
      <c r="AF71" t="s">
        <v>133</v>
      </c>
    </row>
    <row r="72" spans="1:32" x14ac:dyDescent="0.2">
      <c r="A72" t="s">
        <v>130</v>
      </c>
      <c r="B72" t="s">
        <v>33</v>
      </c>
      <c r="C72" t="s">
        <v>34</v>
      </c>
      <c r="D72" t="s">
        <v>131</v>
      </c>
      <c r="E72" t="s">
        <v>36</v>
      </c>
      <c r="F72">
        <v>4.2145879779574999E-2</v>
      </c>
      <c r="J72">
        <v>46.380548132956903</v>
      </c>
      <c r="O72" s="1">
        <v>45149.726469907408</v>
      </c>
      <c r="P72" s="1">
        <v>45149.726712962962</v>
      </c>
      <c r="Q72" t="s">
        <v>37</v>
      </c>
      <c r="R72">
        <v>60703</v>
      </c>
      <c r="S72">
        <v>0</v>
      </c>
      <c r="U72" t="s">
        <v>38</v>
      </c>
      <c r="V72">
        <v>4.1270088937431698E-2</v>
      </c>
      <c r="W72">
        <v>176.016914075496</v>
      </c>
      <c r="X72" t="s">
        <v>39</v>
      </c>
      <c r="Y72" t="s">
        <v>40</v>
      </c>
      <c r="Z72">
        <v>1</v>
      </c>
      <c r="AA72">
        <v>203.48573638819801</v>
      </c>
      <c r="AB72">
        <v>12818</v>
      </c>
      <c r="AC72" t="s">
        <v>86</v>
      </c>
      <c r="AD72">
        <v>1</v>
      </c>
      <c r="AE72" t="s">
        <v>42</v>
      </c>
      <c r="AF72" t="s">
        <v>134</v>
      </c>
    </row>
    <row r="73" spans="1:32" x14ac:dyDescent="0.2">
      <c r="A73" t="s">
        <v>130</v>
      </c>
      <c r="B73" t="s">
        <v>33</v>
      </c>
      <c r="C73" t="s">
        <v>34</v>
      </c>
      <c r="D73" t="s">
        <v>131</v>
      </c>
      <c r="E73" t="s">
        <v>36</v>
      </c>
      <c r="G73">
        <v>4.16722631290493E-2</v>
      </c>
      <c r="H73">
        <v>2.4668318280921999E-3</v>
      </c>
      <c r="I73">
        <v>5.9196012955979697E-2</v>
      </c>
      <c r="K73">
        <v>44.846732446609998</v>
      </c>
      <c r="L73">
        <v>7.8862466714583901</v>
      </c>
      <c r="M73">
        <v>0.17584885768092401</v>
      </c>
      <c r="O73" s="1">
        <v>45149.726469907408</v>
      </c>
      <c r="P73" s="1">
        <v>45149.726712962962</v>
      </c>
      <c r="U73" t="s">
        <v>38</v>
      </c>
      <c r="AC73" t="s">
        <v>86</v>
      </c>
      <c r="AD73">
        <v>1</v>
      </c>
      <c r="AE73" t="s">
        <v>42</v>
      </c>
    </row>
    <row r="74" spans="1:32" x14ac:dyDescent="0.2">
      <c r="A74" t="s">
        <v>135</v>
      </c>
      <c r="B74" t="s">
        <v>33</v>
      </c>
      <c r="C74" t="s">
        <v>34</v>
      </c>
      <c r="D74" t="s">
        <v>136</v>
      </c>
      <c r="E74" t="s">
        <v>36</v>
      </c>
      <c r="F74">
        <v>0.26334840844340102</v>
      </c>
      <c r="J74">
        <v>688.47767550379604</v>
      </c>
      <c r="O74" s="1">
        <v>45149.726990740739</v>
      </c>
      <c r="P74" s="1">
        <v>45149.727233796293</v>
      </c>
      <c r="Q74" t="s">
        <v>37</v>
      </c>
      <c r="R74">
        <v>60704</v>
      </c>
      <c r="S74">
        <v>0</v>
      </c>
      <c r="U74" t="s">
        <v>38</v>
      </c>
      <c r="V74">
        <v>0.231525892203886</v>
      </c>
      <c r="W74">
        <v>176.016914075496</v>
      </c>
      <c r="X74" t="s">
        <v>39</v>
      </c>
      <c r="Y74" t="s">
        <v>40</v>
      </c>
      <c r="Z74">
        <v>1</v>
      </c>
      <c r="AA74">
        <v>97.278983554046903</v>
      </c>
      <c r="AB74">
        <v>12301</v>
      </c>
      <c r="AC74" t="s">
        <v>86</v>
      </c>
      <c r="AD74">
        <v>1</v>
      </c>
      <c r="AE74" t="s">
        <v>42</v>
      </c>
      <c r="AF74" t="s">
        <v>137</v>
      </c>
    </row>
    <row r="75" spans="1:32" x14ac:dyDescent="0.2">
      <c r="A75" t="s">
        <v>135</v>
      </c>
      <c r="B75" t="s">
        <v>33</v>
      </c>
      <c r="C75" t="s">
        <v>34</v>
      </c>
      <c r="D75" t="s">
        <v>136</v>
      </c>
      <c r="E75" t="s">
        <v>36</v>
      </c>
      <c r="F75">
        <v>0.53967571015905602</v>
      </c>
      <c r="J75">
        <v>1444.5311001815101</v>
      </c>
      <c r="O75" s="1">
        <v>45149.727511574078</v>
      </c>
      <c r="P75" s="1">
        <v>45149.727766203701</v>
      </c>
      <c r="Q75" t="s">
        <v>37</v>
      </c>
      <c r="R75">
        <v>60705</v>
      </c>
      <c r="S75">
        <v>0</v>
      </c>
      <c r="U75" t="s">
        <v>38</v>
      </c>
      <c r="V75">
        <v>0.417062737642586</v>
      </c>
      <c r="W75">
        <v>176.016914075496</v>
      </c>
      <c r="X75" t="s">
        <v>39</v>
      </c>
      <c r="Y75" t="s">
        <v>40</v>
      </c>
      <c r="Z75">
        <v>1</v>
      </c>
      <c r="AA75">
        <v>90.923587844983103</v>
      </c>
      <c r="AB75">
        <v>12624</v>
      </c>
      <c r="AC75" t="s">
        <v>86</v>
      </c>
      <c r="AD75">
        <v>1</v>
      </c>
      <c r="AE75" t="s">
        <v>42</v>
      </c>
      <c r="AF75" t="s">
        <v>138</v>
      </c>
    </row>
    <row r="76" spans="1:32" x14ac:dyDescent="0.2">
      <c r="A76" t="s">
        <v>135</v>
      </c>
      <c r="B76" t="s">
        <v>33</v>
      </c>
      <c r="C76" t="s">
        <v>34</v>
      </c>
      <c r="D76" t="s">
        <v>136</v>
      </c>
      <c r="E76" t="s">
        <v>36</v>
      </c>
      <c r="F76">
        <v>0.24239533264826299</v>
      </c>
      <c r="J76">
        <v>629.85012384830804</v>
      </c>
      <c r="O76" s="1">
        <v>45149.728032407409</v>
      </c>
      <c r="P76" s="1">
        <v>45149.72828703704</v>
      </c>
      <c r="Q76" t="s">
        <v>37</v>
      </c>
      <c r="R76">
        <v>60706</v>
      </c>
      <c r="S76">
        <v>0</v>
      </c>
      <c r="U76" t="s">
        <v>38</v>
      </c>
      <c r="V76">
        <v>0.215254119446569</v>
      </c>
      <c r="W76">
        <v>176.016914075496</v>
      </c>
      <c r="X76" t="s">
        <v>39</v>
      </c>
      <c r="Y76" t="s">
        <v>40</v>
      </c>
      <c r="Z76">
        <v>1</v>
      </c>
      <c r="AA76">
        <v>105.964794626334</v>
      </c>
      <c r="AB76">
        <v>14383</v>
      </c>
      <c r="AC76" t="s">
        <v>86</v>
      </c>
      <c r="AD76">
        <v>1</v>
      </c>
      <c r="AE76" t="s">
        <v>42</v>
      </c>
      <c r="AF76" t="s">
        <v>139</v>
      </c>
    </row>
    <row r="77" spans="1:32" x14ac:dyDescent="0.2">
      <c r="A77" t="s">
        <v>135</v>
      </c>
      <c r="B77" t="s">
        <v>33</v>
      </c>
      <c r="C77" t="s">
        <v>34</v>
      </c>
      <c r="D77" t="s">
        <v>136</v>
      </c>
      <c r="E77" t="s">
        <v>36</v>
      </c>
      <c r="G77">
        <v>0.34847315041690702</v>
      </c>
      <c r="H77">
        <v>0.165917364929901</v>
      </c>
      <c r="I77">
        <v>0.47612668216016202</v>
      </c>
      <c r="K77">
        <v>920.95296651120395</v>
      </c>
      <c r="L77">
        <v>454.37852501690497</v>
      </c>
      <c r="M77">
        <v>0.49337864314418001</v>
      </c>
      <c r="O77" s="1">
        <v>45149.728032407409</v>
      </c>
      <c r="P77" s="1">
        <v>45149.72828703704</v>
      </c>
      <c r="U77" t="s">
        <v>38</v>
      </c>
      <c r="AC77" t="s">
        <v>86</v>
      </c>
      <c r="AD77">
        <v>1</v>
      </c>
      <c r="AE77" t="s">
        <v>42</v>
      </c>
    </row>
    <row r="78" spans="1:32" x14ac:dyDescent="0.2">
      <c r="A78" t="s">
        <v>140</v>
      </c>
      <c r="B78" t="s">
        <v>33</v>
      </c>
      <c r="C78" t="s">
        <v>34</v>
      </c>
      <c r="D78" t="s">
        <v>141</v>
      </c>
      <c r="E78" t="s">
        <v>36</v>
      </c>
      <c r="F78" t="s">
        <v>46</v>
      </c>
      <c r="J78" t="s">
        <v>46</v>
      </c>
      <c r="O78" s="1">
        <v>45149.72855324074</v>
      </c>
      <c r="P78" s="1">
        <v>45149.728796296295</v>
      </c>
      <c r="Q78" t="s">
        <v>37</v>
      </c>
      <c r="R78">
        <v>60707</v>
      </c>
      <c r="S78">
        <v>4</v>
      </c>
      <c r="T78" t="s">
        <v>142</v>
      </c>
      <c r="U78" t="s">
        <v>38</v>
      </c>
      <c r="V78" t="s">
        <v>46</v>
      </c>
      <c r="W78">
        <v>176.016914075496</v>
      </c>
      <c r="X78" t="s">
        <v>80</v>
      </c>
      <c r="Y78" t="s">
        <v>55</v>
      </c>
      <c r="Z78" t="s">
        <v>46</v>
      </c>
      <c r="AA78" t="s">
        <v>46</v>
      </c>
      <c r="AB78" t="s">
        <v>46</v>
      </c>
      <c r="AC78" t="s">
        <v>86</v>
      </c>
      <c r="AD78">
        <v>1</v>
      </c>
      <c r="AE78" t="s">
        <v>42</v>
      </c>
    </row>
    <row r="79" spans="1:32" x14ac:dyDescent="0.2">
      <c r="A79" t="s">
        <v>140</v>
      </c>
      <c r="B79" t="s">
        <v>33</v>
      </c>
      <c r="C79" t="s">
        <v>34</v>
      </c>
      <c r="D79" t="s">
        <v>141</v>
      </c>
      <c r="E79" t="s">
        <v>36</v>
      </c>
      <c r="F79">
        <v>1.0902618824507699</v>
      </c>
      <c r="J79">
        <v>2900.1147177790299</v>
      </c>
      <c r="O79" s="1">
        <v>45149.729074074072</v>
      </c>
      <c r="P79" s="1">
        <v>45149.729328703703</v>
      </c>
      <c r="Q79" t="s">
        <v>37</v>
      </c>
      <c r="R79">
        <v>60708</v>
      </c>
      <c r="S79">
        <v>0</v>
      </c>
      <c r="U79" t="s">
        <v>38</v>
      </c>
      <c r="V79">
        <v>0.99190351690984202</v>
      </c>
      <c r="W79">
        <v>176.016914075496</v>
      </c>
      <c r="X79" t="s">
        <v>80</v>
      </c>
      <c r="Y79" t="s">
        <v>40</v>
      </c>
      <c r="Z79">
        <v>1</v>
      </c>
      <c r="AA79">
        <v>193.470966491762</v>
      </c>
      <c r="AB79">
        <v>11857</v>
      </c>
      <c r="AC79" t="s">
        <v>86</v>
      </c>
      <c r="AD79">
        <v>1</v>
      </c>
      <c r="AE79" t="s">
        <v>42</v>
      </c>
      <c r="AF79" t="s">
        <v>143</v>
      </c>
    </row>
    <row r="80" spans="1:32" x14ac:dyDescent="0.2">
      <c r="A80" t="s">
        <v>140</v>
      </c>
      <c r="B80" t="s">
        <v>33</v>
      </c>
      <c r="C80" t="s">
        <v>34</v>
      </c>
      <c r="D80" t="s">
        <v>141</v>
      </c>
      <c r="E80" t="s">
        <v>36</v>
      </c>
      <c r="F80">
        <v>1.06611499003614</v>
      </c>
      <c r="J80">
        <v>2837.17128621456</v>
      </c>
      <c r="O80" s="1">
        <v>45149.729594907411</v>
      </c>
      <c r="P80" s="1">
        <v>45149.729849537034</v>
      </c>
      <c r="Q80" t="s">
        <v>37</v>
      </c>
      <c r="R80">
        <v>60709</v>
      </c>
      <c r="S80">
        <v>0</v>
      </c>
      <c r="U80" t="s">
        <v>38</v>
      </c>
      <c r="V80">
        <v>0.99129383313180197</v>
      </c>
      <c r="W80">
        <v>176.016914075496</v>
      </c>
      <c r="X80" t="s">
        <v>80</v>
      </c>
      <c r="Y80" t="s">
        <v>40</v>
      </c>
      <c r="Z80">
        <v>1</v>
      </c>
      <c r="AA80">
        <v>189.30236860541299</v>
      </c>
      <c r="AB80">
        <v>12405</v>
      </c>
      <c r="AC80" t="s">
        <v>86</v>
      </c>
      <c r="AD80">
        <v>1</v>
      </c>
      <c r="AE80" t="s">
        <v>42</v>
      </c>
      <c r="AF80" t="s">
        <v>144</v>
      </c>
    </row>
    <row r="81" spans="1:32" x14ac:dyDescent="0.2">
      <c r="A81" t="s">
        <v>140</v>
      </c>
      <c r="B81" t="s">
        <v>33</v>
      </c>
      <c r="C81" t="s">
        <v>34</v>
      </c>
      <c r="D81" t="s">
        <v>141</v>
      </c>
      <c r="E81" t="s">
        <v>36</v>
      </c>
      <c r="G81">
        <v>1.07818843624345</v>
      </c>
      <c r="H81">
        <v>1.7074431370964298E-2</v>
      </c>
      <c r="I81">
        <v>1.58362219413648E-2</v>
      </c>
      <c r="K81">
        <v>2868.6430019968002</v>
      </c>
      <c r="L81">
        <v>44.507727290387699</v>
      </c>
      <c r="M81">
        <v>1.55152548642013E-2</v>
      </c>
      <c r="O81" s="1">
        <v>45149.729594907411</v>
      </c>
      <c r="P81" s="1">
        <v>45149.729849537034</v>
      </c>
      <c r="U81" t="s">
        <v>38</v>
      </c>
      <c r="AC81" t="s">
        <v>86</v>
      </c>
      <c r="AD81">
        <v>1</v>
      </c>
      <c r="AE81" t="s">
        <v>42</v>
      </c>
    </row>
    <row r="82" spans="1:32" x14ac:dyDescent="0.2">
      <c r="A82" t="s">
        <v>145</v>
      </c>
      <c r="B82" t="s">
        <v>33</v>
      </c>
      <c r="C82" t="s">
        <v>34</v>
      </c>
      <c r="D82" t="s">
        <v>146</v>
      </c>
      <c r="E82" t="s">
        <v>36</v>
      </c>
      <c r="F82">
        <v>0.33041253257465902</v>
      </c>
      <c r="J82">
        <v>874.593387357491</v>
      </c>
      <c r="O82" s="1">
        <v>45149.730115740742</v>
      </c>
      <c r="P82" s="1">
        <v>45149.730370370373</v>
      </c>
      <c r="Q82" t="s">
        <v>37</v>
      </c>
      <c r="R82">
        <v>60710</v>
      </c>
      <c r="S82">
        <v>0</v>
      </c>
      <c r="U82" t="s">
        <v>38</v>
      </c>
      <c r="V82">
        <v>0.28137278486087702</v>
      </c>
      <c r="W82">
        <v>176.016914075496</v>
      </c>
      <c r="X82" t="s">
        <v>39</v>
      </c>
      <c r="Y82" t="s">
        <v>40</v>
      </c>
      <c r="Z82">
        <v>1</v>
      </c>
      <c r="AA82">
        <v>92.592543316799606</v>
      </c>
      <c r="AB82">
        <v>12471</v>
      </c>
      <c r="AC82" t="s">
        <v>86</v>
      </c>
      <c r="AD82">
        <v>1</v>
      </c>
      <c r="AE82" t="s">
        <v>42</v>
      </c>
      <c r="AF82" t="s">
        <v>147</v>
      </c>
    </row>
    <row r="83" spans="1:32" x14ac:dyDescent="0.2">
      <c r="A83" t="s">
        <v>145</v>
      </c>
      <c r="B83" t="s">
        <v>33</v>
      </c>
      <c r="C83" t="s">
        <v>34</v>
      </c>
      <c r="D83" t="s">
        <v>146</v>
      </c>
      <c r="E83" t="s">
        <v>36</v>
      </c>
      <c r="F83">
        <v>0.40950608554868201</v>
      </c>
      <c r="J83">
        <v>1091.65507514141</v>
      </c>
      <c r="O83" s="1">
        <v>45149.730636574073</v>
      </c>
      <c r="P83" s="1">
        <v>45149.730891203704</v>
      </c>
      <c r="Q83" t="s">
        <v>37</v>
      </c>
      <c r="R83">
        <v>60711</v>
      </c>
      <c r="S83">
        <v>0</v>
      </c>
      <c r="U83" t="s">
        <v>38</v>
      </c>
      <c r="V83">
        <v>0.33602188245195702</v>
      </c>
      <c r="W83">
        <v>176.016914075496</v>
      </c>
      <c r="X83" t="s">
        <v>39</v>
      </c>
      <c r="Y83" t="s">
        <v>40</v>
      </c>
      <c r="Z83">
        <v>1</v>
      </c>
      <c r="AA83">
        <v>93.491684624313507</v>
      </c>
      <c r="AB83">
        <v>14258</v>
      </c>
      <c r="AC83" t="s">
        <v>86</v>
      </c>
      <c r="AD83">
        <v>1</v>
      </c>
      <c r="AE83" t="s">
        <v>42</v>
      </c>
      <c r="AF83" t="s">
        <v>148</v>
      </c>
    </row>
    <row r="84" spans="1:32" x14ac:dyDescent="0.2">
      <c r="A84" t="s">
        <v>145</v>
      </c>
      <c r="B84" t="s">
        <v>33</v>
      </c>
      <c r="C84" t="s">
        <v>34</v>
      </c>
      <c r="D84" t="s">
        <v>146</v>
      </c>
      <c r="E84" t="s">
        <v>36</v>
      </c>
      <c r="F84">
        <v>0.39992411453566501</v>
      </c>
      <c r="J84">
        <v>1065.4790054720299</v>
      </c>
      <c r="O84" s="1">
        <v>45149.731157407405</v>
      </c>
      <c r="P84" s="1">
        <v>45149.731412037036</v>
      </c>
      <c r="Q84" t="s">
        <v>37</v>
      </c>
      <c r="R84">
        <v>60712</v>
      </c>
      <c r="S84">
        <v>0</v>
      </c>
      <c r="U84" t="s">
        <v>38</v>
      </c>
      <c r="V84">
        <v>0.32962908448631101</v>
      </c>
      <c r="W84">
        <v>176.016914075496</v>
      </c>
      <c r="X84" t="s">
        <v>39</v>
      </c>
      <c r="Y84" t="s">
        <v>40</v>
      </c>
      <c r="Z84">
        <v>1</v>
      </c>
      <c r="AA84">
        <v>90.052733812680799</v>
      </c>
      <c r="AB84">
        <v>13588</v>
      </c>
      <c r="AC84" t="s">
        <v>86</v>
      </c>
      <c r="AD84">
        <v>1</v>
      </c>
      <c r="AE84" t="s">
        <v>42</v>
      </c>
      <c r="AF84" t="s">
        <v>149</v>
      </c>
    </row>
    <row r="85" spans="1:32" x14ac:dyDescent="0.2">
      <c r="A85" t="s">
        <v>145</v>
      </c>
      <c r="B85" t="s">
        <v>33</v>
      </c>
      <c r="C85" t="s">
        <v>34</v>
      </c>
      <c r="D85" t="s">
        <v>146</v>
      </c>
      <c r="E85" t="s">
        <v>36</v>
      </c>
      <c r="G85">
        <v>0.37994757755300201</v>
      </c>
      <c r="H85">
        <v>4.3165310758506499E-2</v>
      </c>
      <c r="I85">
        <v>0.113608595787099</v>
      </c>
      <c r="K85">
        <v>1010.57582265698</v>
      </c>
      <c r="L85">
        <v>118.48929777966499</v>
      </c>
      <c r="M85">
        <v>0.117249290081111</v>
      </c>
      <c r="O85" s="1">
        <v>45149.731157407405</v>
      </c>
      <c r="P85" s="1">
        <v>45149.731412037036</v>
      </c>
      <c r="U85" t="s">
        <v>38</v>
      </c>
      <c r="AC85" t="s">
        <v>86</v>
      </c>
      <c r="AD85">
        <v>1</v>
      </c>
      <c r="AE85" t="s">
        <v>42</v>
      </c>
    </row>
    <row r="86" spans="1:32" x14ac:dyDescent="0.2">
      <c r="A86" t="s">
        <v>150</v>
      </c>
      <c r="B86" t="s">
        <v>33</v>
      </c>
      <c r="C86" t="s">
        <v>34</v>
      </c>
      <c r="D86" t="s">
        <v>151</v>
      </c>
      <c r="E86" t="s">
        <v>36</v>
      </c>
      <c r="F86">
        <v>3.0241825597844201E-2</v>
      </c>
      <c r="J86">
        <v>7.2079024273822299</v>
      </c>
      <c r="O86" s="1">
        <v>45149.731678240743</v>
      </c>
      <c r="P86" s="1">
        <v>45149.731932870367</v>
      </c>
      <c r="Q86" t="s">
        <v>37</v>
      </c>
      <c r="R86">
        <v>60713</v>
      </c>
      <c r="S86">
        <v>0</v>
      </c>
      <c r="U86" t="s">
        <v>38</v>
      </c>
      <c r="V86">
        <v>2.9789116649461701E-2</v>
      </c>
      <c r="W86">
        <v>176.016914075496</v>
      </c>
      <c r="X86" t="s">
        <v>39</v>
      </c>
      <c r="Y86" t="s">
        <v>40</v>
      </c>
      <c r="Z86">
        <v>1</v>
      </c>
      <c r="AA86">
        <v>193.50919592508299</v>
      </c>
      <c r="AB86">
        <v>13562</v>
      </c>
      <c r="AC86" t="s">
        <v>86</v>
      </c>
      <c r="AD86">
        <v>1</v>
      </c>
      <c r="AE86" t="s">
        <v>42</v>
      </c>
      <c r="AF86" t="s">
        <v>152</v>
      </c>
    </row>
    <row r="87" spans="1:32" x14ac:dyDescent="0.2">
      <c r="A87" t="s">
        <v>150</v>
      </c>
      <c r="B87" t="s">
        <v>33</v>
      </c>
      <c r="C87" t="s">
        <v>34</v>
      </c>
      <c r="D87" t="s">
        <v>151</v>
      </c>
      <c r="E87" t="s">
        <v>36</v>
      </c>
      <c r="F87">
        <v>2.7680015773309301E-2</v>
      </c>
      <c r="J87" t="s">
        <v>46</v>
      </c>
      <c r="O87" s="1">
        <v>45149.732199074075</v>
      </c>
      <c r="P87" s="1">
        <v>45149.732453703706</v>
      </c>
      <c r="Q87" t="s">
        <v>37</v>
      </c>
      <c r="R87">
        <v>60714</v>
      </c>
      <c r="S87">
        <v>1</v>
      </c>
      <c r="T87" t="s">
        <v>153</v>
      </c>
      <c r="U87" t="s">
        <v>38</v>
      </c>
      <c r="V87">
        <v>2.7300434472472601E-2</v>
      </c>
      <c r="W87">
        <v>176.016914075496</v>
      </c>
      <c r="X87" t="s">
        <v>39</v>
      </c>
      <c r="Y87" t="s">
        <v>154</v>
      </c>
      <c r="Z87">
        <v>1</v>
      </c>
      <c r="AA87">
        <v>181.39166138099</v>
      </c>
      <c r="AB87">
        <v>15421</v>
      </c>
      <c r="AC87" t="s">
        <v>86</v>
      </c>
      <c r="AD87">
        <v>1</v>
      </c>
      <c r="AE87" t="s">
        <v>42</v>
      </c>
      <c r="AF87" t="s">
        <v>155</v>
      </c>
    </row>
    <row r="88" spans="1:32" x14ac:dyDescent="0.2">
      <c r="A88" t="s">
        <v>150</v>
      </c>
      <c r="B88" t="s">
        <v>33</v>
      </c>
      <c r="C88" t="s">
        <v>34</v>
      </c>
      <c r="D88" t="s">
        <v>151</v>
      </c>
      <c r="E88" t="s">
        <v>36</v>
      </c>
      <c r="F88">
        <v>4.66751385701299E-2</v>
      </c>
      <c r="J88">
        <v>60.7155143570576</v>
      </c>
      <c r="O88" s="1">
        <v>45149.732719907406</v>
      </c>
      <c r="P88" s="1">
        <v>45149.73296296296</v>
      </c>
      <c r="Q88" t="s">
        <v>37</v>
      </c>
      <c r="R88">
        <v>60715</v>
      </c>
      <c r="S88">
        <v>0</v>
      </c>
      <c r="U88" t="s">
        <v>38</v>
      </c>
      <c r="V88">
        <v>4.5602605863192203E-2</v>
      </c>
      <c r="W88">
        <v>176.016914075496</v>
      </c>
      <c r="X88" t="s">
        <v>39</v>
      </c>
      <c r="Y88" t="s">
        <v>40</v>
      </c>
      <c r="Z88">
        <v>1</v>
      </c>
      <c r="AA88">
        <v>187.45135234420701</v>
      </c>
      <c r="AB88">
        <v>16271</v>
      </c>
      <c r="AC88" t="s">
        <v>86</v>
      </c>
      <c r="AD88">
        <v>1</v>
      </c>
      <c r="AE88" t="s">
        <v>42</v>
      </c>
      <c r="AF88" t="s">
        <v>156</v>
      </c>
    </row>
    <row r="89" spans="1:32" x14ac:dyDescent="0.2">
      <c r="A89" t="s">
        <v>150</v>
      </c>
      <c r="B89" t="s">
        <v>33</v>
      </c>
      <c r="C89" t="s">
        <v>34</v>
      </c>
      <c r="D89" t="s">
        <v>151</v>
      </c>
      <c r="E89" t="s">
        <v>36</v>
      </c>
      <c r="G89">
        <v>3.4865659980427802E-2</v>
      </c>
      <c r="H89">
        <v>1.03072089245705E-2</v>
      </c>
      <c r="I89">
        <v>0.29562638224420601</v>
      </c>
      <c r="K89">
        <v>33.961708392219897</v>
      </c>
      <c r="L89">
        <v>37.835595240571699</v>
      </c>
      <c r="M89">
        <v>1.1140663126722801</v>
      </c>
      <c r="O89" s="1">
        <v>45149.732719907406</v>
      </c>
      <c r="P89" s="1">
        <v>45149.73296296296</v>
      </c>
      <c r="U89" t="s">
        <v>38</v>
      </c>
      <c r="AC89" t="s">
        <v>86</v>
      </c>
      <c r="AD89">
        <v>1</v>
      </c>
      <c r="AE89" t="s">
        <v>42</v>
      </c>
    </row>
    <row r="90" spans="1:32" x14ac:dyDescent="0.2">
      <c r="A90" t="s">
        <v>157</v>
      </c>
      <c r="B90" t="s">
        <v>33</v>
      </c>
      <c r="C90" t="s">
        <v>34</v>
      </c>
      <c r="D90" t="s">
        <v>158</v>
      </c>
      <c r="E90" t="s">
        <v>36</v>
      </c>
      <c r="F90">
        <v>3.5948600340315398E-2</v>
      </c>
      <c r="J90">
        <v>26.380810391858301</v>
      </c>
      <c r="O90" s="1">
        <v>45149.733240740738</v>
      </c>
      <c r="P90" s="1">
        <v>45149.733483796299</v>
      </c>
      <c r="Q90" t="s">
        <v>37</v>
      </c>
      <c r="R90">
        <v>60716</v>
      </c>
      <c r="S90">
        <v>0</v>
      </c>
      <c r="U90" t="s">
        <v>38</v>
      </c>
      <c r="V90">
        <v>3.5310123059798401E-2</v>
      </c>
      <c r="W90">
        <v>176.016914075496</v>
      </c>
      <c r="X90" t="s">
        <v>39</v>
      </c>
      <c r="Y90" t="s">
        <v>40</v>
      </c>
      <c r="Z90">
        <v>1</v>
      </c>
      <c r="AA90">
        <v>222.811885717422</v>
      </c>
      <c r="AB90">
        <v>16171</v>
      </c>
      <c r="AC90" t="s">
        <v>86</v>
      </c>
      <c r="AD90">
        <v>1</v>
      </c>
      <c r="AE90" t="s">
        <v>42</v>
      </c>
      <c r="AF90" t="s">
        <v>159</v>
      </c>
    </row>
    <row r="91" spans="1:32" x14ac:dyDescent="0.2">
      <c r="A91" t="s">
        <v>157</v>
      </c>
      <c r="B91" t="s">
        <v>33</v>
      </c>
      <c r="C91" t="s">
        <v>34</v>
      </c>
      <c r="D91" t="s">
        <v>158</v>
      </c>
      <c r="E91" t="s">
        <v>36</v>
      </c>
      <c r="F91">
        <v>3.8819294803072703E-2</v>
      </c>
      <c r="J91">
        <v>35.713584571706498</v>
      </c>
      <c r="O91" s="1">
        <v>45149.733761574076</v>
      </c>
      <c r="P91" s="1">
        <v>45149.73400462963</v>
      </c>
      <c r="Q91" t="s">
        <v>37</v>
      </c>
      <c r="R91">
        <v>60717</v>
      </c>
      <c r="S91">
        <v>0</v>
      </c>
      <c r="U91" t="s">
        <v>38</v>
      </c>
      <c r="V91">
        <v>3.8075481798715199E-2</v>
      </c>
      <c r="W91">
        <v>176.016914075496</v>
      </c>
      <c r="X91" t="s">
        <v>39</v>
      </c>
      <c r="Y91" t="s">
        <v>40</v>
      </c>
      <c r="Z91">
        <v>1</v>
      </c>
      <c r="AA91">
        <v>215.78218507515899</v>
      </c>
      <c r="AB91">
        <v>14944</v>
      </c>
      <c r="AC91" t="s">
        <v>86</v>
      </c>
      <c r="AD91">
        <v>1</v>
      </c>
      <c r="AE91" t="s">
        <v>42</v>
      </c>
      <c r="AF91" t="s">
        <v>160</v>
      </c>
    </row>
    <row r="92" spans="1:32" x14ac:dyDescent="0.2">
      <c r="A92" t="s">
        <v>157</v>
      </c>
      <c r="B92" t="s">
        <v>33</v>
      </c>
      <c r="C92" t="s">
        <v>34</v>
      </c>
      <c r="D92" t="s">
        <v>158</v>
      </c>
      <c r="E92" t="s">
        <v>36</v>
      </c>
      <c r="F92">
        <v>3.5152881078909903E-2</v>
      </c>
      <c r="J92">
        <v>23.766969807315</v>
      </c>
      <c r="O92" s="1">
        <v>45149.734282407408</v>
      </c>
      <c r="P92" s="1">
        <v>45149.734537037039</v>
      </c>
      <c r="Q92" t="s">
        <v>37</v>
      </c>
      <c r="R92">
        <v>60718</v>
      </c>
      <c r="S92">
        <v>0</v>
      </c>
      <c r="U92" t="s">
        <v>38</v>
      </c>
      <c r="V92">
        <v>3.4542195256481001E-2</v>
      </c>
      <c r="W92">
        <v>176.016914075496</v>
      </c>
      <c r="X92" t="s">
        <v>39</v>
      </c>
      <c r="Y92" t="s">
        <v>40</v>
      </c>
      <c r="Z92">
        <v>1</v>
      </c>
      <c r="AA92">
        <v>212.49787013828899</v>
      </c>
      <c r="AB92">
        <v>14504</v>
      </c>
      <c r="AC92" t="s">
        <v>86</v>
      </c>
      <c r="AD92">
        <v>1</v>
      </c>
      <c r="AE92" t="s">
        <v>42</v>
      </c>
      <c r="AF92" t="s">
        <v>161</v>
      </c>
    </row>
    <row r="93" spans="1:32" x14ac:dyDescent="0.2">
      <c r="A93" t="s">
        <v>157</v>
      </c>
      <c r="B93" t="s">
        <v>33</v>
      </c>
      <c r="C93" t="s">
        <v>34</v>
      </c>
      <c r="D93" t="s">
        <v>158</v>
      </c>
      <c r="E93" t="s">
        <v>36</v>
      </c>
      <c r="G93">
        <v>3.6640258740765999E-2</v>
      </c>
      <c r="H93">
        <v>1.9285852084799701E-3</v>
      </c>
      <c r="I93">
        <v>5.2635687485858902E-2</v>
      </c>
      <c r="K93">
        <v>28.6204549236266</v>
      </c>
      <c r="L93">
        <v>6.2803190049315303</v>
      </c>
      <c r="M93">
        <v>0.21943463238758801</v>
      </c>
      <c r="O93" s="1">
        <v>45149.734282407408</v>
      </c>
      <c r="P93" s="1">
        <v>45149.734537037039</v>
      </c>
      <c r="U93" t="s">
        <v>38</v>
      </c>
      <c r="AC93" t="s">
        <v>86</v>
      </c>
      <c r="AD93">
        <v>1</v>
      </c>
      <c r="AE93" t="s">
        <v>42</v>
      </c>
    </row>
    <row r="94" spans="1:32" x14ac:dyDescent="0.2">
      <c r="A94" t="s">
        <v>162</v>
      </c>
      <c r="B94" t="s">
        <v>33</v>
      </c>
      <c r="C94" t="s">
        <v>34</v>
      </c>
      <c r="D94" t="s">
        <v>163</v>
      </c>
      <c r="E94" t="s">
        <v>36</v>
      </c>
      <c r="F94">
        <v>4.0212545555178197E-2</v>
      </c>
      <c r="J94">
        <v>40.197916056865601</v>
      </c>
      <c r="O94" s="1">
        <v>45149.734803240739</v>
      </c>
      <c r="P94" s="1">
        <v>45149.735046296293</v>
      </c>
      <c r="Q94" t="s">
        <v>37</v>
      </c>
      <c r="R94">
        <v>60719</v>
      </c>
      <c r="S94">
        <v>0</v>
      </c>
      <c r="U94" t="s">
        <v>38</v>
      </c>
      <c r="V94">
        <v>3.9414750671842302E-2</v>
      </c>
      <c r="W94">
        <v>176.016914075496</v>
      </c>
      <c r="X94" t="s">
        <v>39</v>
      </c>
      <c r="Y94" t="s">
        <v>40</v>
      </c>
      <c r="Z94">
        <v>1</v>
      </c>
      <c r="AA94">
        <v>238.00701441607401</v>
      </c>
      <c r="AB94">
        <v>13396</v>
      </c>
      <c r="AC94" t="s">
        <v>86</v>
      </c>
      <c r="AD94">
        <v>1</v>
      </c>
      <c r="AE94" t="s">
        <v>42</v>
      </c>
      <c r="AF94" t="s">
        <v>164</v>
      </c>
    </row>
    <row r="95" spans="1:32" x14ac:dyDescent="0.2">
      <c r="A95" t="s">
        <v>162</v>
      </c>
      <c r="B95" t="s">
        <v>33</v>
      </c>
      <c r="C95" t="s">
        <v>34</v>
      </c>
      <c r="D95" t="s">
        <v>163</v>
      </c>
      <c r="E95" t="s">
        <v>36</v>
      </c>
      <c r="F95">
        <v>3.9102119671830603E-2</v>
      </c>
      <c r="J95">
        <v>36.626023618547002</v>
      </c>
      <c r="O95" s="1">
        <v>45149.735324074078</v>
      </c>
      <c r="P95" s="1">
        <v>45149.735578703701</v>
      </c>
      <c r="Q95" t="s">
        <v>37</v>
      </c>
      <c r="R95">
        <v>60720</v>
      </c>
      <c r="S95">
        <v>0</v>
      </c>
      <c r="U95" t="s">
        <v>38</v>
      </c>
      <c r="V95">
        <v>3.8347499505831197E-2</v>
      </c>
      <c r="W95">
        <v>176.016914075496</v>
      </c>
      <c r="X95" t="s">
        <v>39</v>
      </c>
      <c r="Y95" t="s">
        <v>40</v>
      </c>
      <c r="Z95">
        <v>1</v>
      </c>
      <c r="AA95">
        <v>221.08177155698399</v>
      </c>
      <c r="AB95">
        <v>15177</v>
      </c>
      <c r="AC95" t="s">
        <v>86</v>
      </c>
      <c r="AD95">
        <v>1</v>
      </c>
      <c r="AE95" t="s">
        <v>42</v>
      </c>
      <c r="AF95" t="s">
        <v>165</v>
      </c>
    </row>
    <row r="96" spans="1:32" x14ac:dyDescent="0.2">
      <c r="A96" t="s">
        <v>162</v>
      </c>
      <c r="B96" t="s">
        <v>33</v>
      </c>
      <c r="C96" t="s">
        <v>34</v>
      </c>
      <c r="D96" t="s">
        <v>163</v>
      </c>
      <c r="E96" t="s">
        <v>36</v>
      </c>
      <c r="F96">
        <v>3.9685560437700801E-2</v>
      </c>
      <c r="J96">
        <v>38.504804846575702</v>
      </c>
      <c r="O96" s="1">
        <v>45149.735844907409</v>
      </c>
      <c r="P96" s="1">
        <v>45149.73609953704</v>
      </c>
      <c r="Q96" t="s">
        <v>37</v>
      </c>
      <c r="R96">
        <v>60721</v>
      </c>
      <c r="S96">
        <v>0</v>
      </c>
      <c r="U96" t="s">
        <v>38</v>
      </c>
      <c r="V96">
        <v>3.8908403134287999E-2</v>
      </c>
      <c r="W96">
        <v>176.016914075496</v>
      </c>
      <c r="X96" t="s">
        <v>39</v>
      </c>
      <c r="Y96" t="s">
        <v>40</v>
      </c>
      <c r="Z96">
        <v>1</v>
      </c>
      <c r="AA96">
        <v>216.03277997294401</v>
      </c>
      <c r="AB96">
        <v>14804</v>
      </c>
      <c r="AC96" t="s">
        <v>86</v>
      </c>
      <c r="AD96">
        <v>1</v>
      </c>
      <c r="AE96" t="s">
        <v>42</v>
      </c>
      <c r="AF96" t="s">
        <v>166</v>
      </c>
    </row>
    <row r="97" spans="1:32" x14ac:dyDescent="0.2">
      <c r="A97" t="s">
        <v>162</v>
      </c>
      <c r="B97" t="s">
        <v>33</v>
      </c>
      <c r="C97" t="s">
        <v>34</v>
      </c>
      <c r="D97" t="s">
        <v>163</v>
      </c>
      <c r="E97" t="s">
        <v>36</v>
      </c>
      <c r="G97">
        <v>3.9666741888236497E-2</v>
      </c>
      <c r="H97">
        <v>5.5545208070094897E-4</v>
      </c>
      <c r="I97">
        <v>1.4002967076700399E-2</v>
      </c>
      <c r="K97">
        <v>38.442914840662702</v>
      </c>
      <c r="L97">
        <v>1.78675031197795</v>
      </c>
      <c r="M97">
        <v>4.6478013422853799E-2</v>
      </c>
      <c r="O97" s="1">
        <v>45149.735844907409</v>
      </c>
      <c r="P97" s="1">
        <v>45149.73609953704</v>
      </c>
      <c r="U97" t="s">
        <v>38</v>
      </c>
      <c r="AC97" t="s">
        <v>86</v>
      </c>
      <c r="AD97">
        <v>1</v>
      </c>
      <c r="AE97" t="s">
        <v>42</v>
      </c>
    </row>
    <row r="98" spans="1:32" x14ac:dyDescent="0.2">
      <c r="A98" t="s">
        <v>167</v>
      </c>
      <c r="B98" t="s">
        <v>33</v>
      </c>
      <c r="C98" t="s">
        <v>34</v>
      </c>
      <c r="D98" t="s">
        <v>168</v>
      </c>
      <c r="E98" t="s">
        <v>36</v>
      </c>
      <c r="F98">
        <v>3.4933833688163198E-2</v>
      </c>
      <c r="J98">
        <v>23.045000106737898</v>
      </c>
      <c r="O98" s="1">
        <v>45149.738969907405</v>
      </c>
      <c r="P98" s="1">
        <v>45149.739212962966</v>
      </c>
      <c r="Q98" t="s">
        <v>37</v>
      </c>
      <c r="R98">
        <v>60722</v>
      </c>
      <c r="S98">
        <v>0</v>
      </c>
      <c r="U98" t="s">
        <v>38</v>
      </c>
      <c r="V98">
        <v>3.4330691079602502E-2</v>
      </c>
      <c r="W98">
        <v>176.016914075496</v>
      </c>
      <c r="X98" t="s">
        <v>39</v>
      </c>
      <c r="Y98" t="s">
        <v>40</v>
      </c>
      <c r="Z98">
        <v>1</v>
      </c>
      <c r="AA98">
        <v>199.90901129687299</v>
      </c>
      <c r="AB98">
        <v>17914</v>
      </c>
      <c r="AC98" t="s">
        <v>86</v>
      </c>
      <c r="AD98">
        <v>1</v>
      </c>
      <c r="AE98" t="s">
        <v>42</v>
      </c>
      <c r="AF98" t="s">
        <v>169</v>
      </c>
    </row>
    <row r="99" spans="1:32" x14ac:dyDescent="0.2">
      <c r="A99" t="s">
        <v>167</v>
      </c>
      <c r="B99" t="s">
        <v>33</v>
      </c>
      <c r="C99" t="s">
        <v>34</v>
      </c>
      <c r="D99" t="s">
        <v>168</v>
      </c>
      <c r="E99" t="s">
        <v>36</v>
      </c>
      <c r="F99">
        <v>3.2996653685069897E-2</v>
      </c>
      <c r="J99">
        <v>16.606488580954199</v>
      </c>
      <c r="O99" s="1">
        <v>45149.739490740743</v>
      </c>
      <c r="P99" s="1">
        <v>45149.739745370367</v>
      </c>
      <c r="Q99" t="s">
        <v>37</v>
      </c>
      <c r="R99">
        <v>60723</v>
      </c>
      <c r="S99">
        <v>0</v>
      </c>
      <c r="U99" t="s">
        <v>38</v>
      </c>
      <c r="V99">
        <v>3.2458202716823398E-2</v>
      </c>
      <c r="W99">
        <v>176.016914075496</v>
      </c>
      <c r="X99" t="s">
        <v>39</v>
      </c>
      <c r="Y99" t="s">
        <v>40</v>
      </c>
      <c r="Z99">
        <v>1</v>
      </c>
      <c r="AA99">
        <v>195.702397476903</v>
      </c>
      <c r="AB99">
        <v>15312</v>
      </c>
      <c r="AC99" t="s">
        <v>86</v>
      </c>
      <c r="AD99">
        <v>1</v>
      </c>
      <c r="AE99" t="s">
        <v>42</v>
      </c>
      <c r="AF99" t="s">
        <v>170</v>
      </c>
    </row>
    <row r="100" spans="1:32" x14ac:dyDescent="0.2">
      <c r="A100" t="s">
        <v>167</v>
      </c>
      <c r="B100" t="s">
        <v>33</v>
      </c>
      <c r="C100" t="s">
        <v>34</v>
      </c>
      <c r="D100" t="s">
        <v>168</v>
      </c>
      <c r="E100" t="s">
        <v>36</v>
      </c>
      <c r="F100">
        <v>3.68222196272293E-2</v>
      </c>
      <c r="J100">
        <v>29.2359715403495</v>
      </c>
      <c r="O100" s="1">
        <v>45149.740011574075</v>
      </c>
      <c r="P100" s="1">
        <v>45149.740266203706</v>
      </c>
      <c r="Q100" t="s">
        <v>37</v>
      </c>
      <c r="R100">
        <v>60724</v>
      </c>
      <c r="S100">
        <v>0</v>
      </c>
      <c r="U100" t="s">
        <v>38</v>
      </c>
      <c r="V100">
        <v>3.6152526718564497E-2</v>
      </c>
      <c r="W100">
        <v>176.016914075496</v>
      </c>
      <c r="X100" t="s">
        <v>39</v>
      </c>
      <c r="Y100" t="s">
        <v>40</v>
      </c>
      <c r="Z100">
        <v>1</v>
      </c>
      <c r="AA100">
        <v>204.09784552719299</v>
      </c>
      <c r="AB100">
        <v>15158</v>
      </c>
      <c r="AC100" t="s">
        <v>86</v>
      </c>
      <c r="AD100">
        <v>1</v>
      </c>
      <c r="AE100" t="s">
        <v>42</v>
      </c>
      <c r="AF100" t="s">
        <v>171</v>
      </c>
    </row>
    <row r="101" spans="1:32" x14ac:dyDescent="0.2">
      <c r="A101" t="s">
        <v>167</v>
      </c>
      <c r="B101" t="s">
        <v>33</v>
      </c>
      <c r="C101" t="s">
        <v>34</v>
      </c>
      <c r="D101" t="s">
        <v>168</v>
      </c>
      <c r="E101" t="s">
        <v>36</v>
      </c>
      <c r="G101">
        <v>3.4917569000154101E-2</v>
      </c>
      <c r="H101">
        <v>1.9128348333061901E-3</v>
      </c>
      <c r="I101">
        <v>5.4781443499051799E-2</v>
      </c>
      <c r="K101">
        <v>22.9624867426806</v>
      </c>
      <c r="L101">
        <v>6.3151457858746198</v>
      </c>
      <c r="M101">
        <v>0.27502011679495503</v>
      </c>
      <c r="O101" s="1">
        <v>45149.740011574075</v>
      </c>
      <c r="P101" s="1">
        <v>45149.740266203706</v>
      </c>
      <c r="U101" t="s">
        <v>38</v>
      </c>
      <c r="AC101" t="s">
        <v>86</v>
      </c>
      <c r="AD101">
        <v>1</v>
      </c>
      <c r="AE101" t="s">
        <v>42</v>
      </c>
    </row>
    <row r="102" spans="1:32" x14ac:dyDescent="0.2">
      <c r="A102" t="s">
        <v>172</v>
      </c>
      <c r="B102" t="s">
        <v>33</v>
      </c>
      <c r="C102" t="s">
        <v>34</v>
      </c>
      <c r="D102" t="s">
        <v>173</v>
      </c>
      <c r="E102" t="s">
        <v>36</v>
      </c>
      <c r="F102">
        <v>0.22270549917900201</v>
      </c>
      <c r="J102">
        <v>574.51362221980298</v>
      </c>
      <c r="O102" s="1">
        <v>45149.740532407406</v>
      </c>
      <c r="P102" s="1">
        <v>45149.74077546296</v>
      </c>
      <c r="Q102" t="s">
        <v>37</v>
      </c>
      <c r="R102">
        <v>60725</v>
      </c>
      <c r="S102">
        <v>0</v>
      </c>
      <c r="U102" t="s">
        <v>38</v>
      </c>
      <c r="V102">
        <v>0.19964948152475501</v>
      </c>
      <c r="W102">
        <v>176.016914075496</v>
      </c>
      <c r="X102" t="s">
        <v>39</v>
      </c>
      <c r="Y102" t="s">
        <v>40</v>
      </c>
      <c r="Z102">
        <v>1</v>
      </c>
      <c r="AA102">
        <v>94.780908576481593</v>
      </c>
      <c r="AB102">
        <v>13694</v>
      </c>
      <c r="AC102" t="s">
        <v>86</v>
      </c>
      <c r="AD102">
        <v>1</v>
      </c>
      <c r="AE102" t="s">
        <v>42</v>
      </c>
      <c r="AF102" t="s">
        <v>174</v>
      </c>
    </row>
    <row r="103" spans="1:32" x14ac:dyDescent="0.2">
      <c r="A103" t="s">
        <v>172</v>
      </c>
      <c r="B103" t="s">
        <v>33</v>
      </c>
      <c r="C103" t="s">
        <v>34</v>
      </c>
      <c r="D103" t="s">
        <v>173</v>
      </c>
      <c r="E103" t="s">
        <v>36</v>
      </c>
      <c r="F103">
        <v>0.26116396424836402</v>
      </c>
      <c r="J103">
        <v>682.37723579726799</v>
      </c>
      <c r="O103" s="1">
        <v>45149.741053240738</v>
      </c>
      <c r="P103" s="1">
        <v>45149.741296296299</v>
      </c>
      <c r="Q103" t="s">
        <v>37</v>
      </c>
      <c r="R103">
        <v>60726</v>
      </c>
      <c r="S103">
        <v>0</v>
      </c>
      <c r="U103" t="s">
        <v>38</v>
      </c>
      <c r="V103">
        <v>0.229845368563279</v>
      </c>
      <c r="W103">
        <v>176.016914075496</v>
      </c>
      <c r="X103" t="s">
        <v>39</v>
      </c>
      <c r="Y103" t="s">
        <v>40</v>
      </c>
      <c r="Z103">
        <v>1</v>
      </c>
      <c r="AA103">
        <v>98.288162399077393</v>
      </c>
      <c r="AB103">
        <v>13322</v>
      </c>
      <c r="AC103" t="s">
        <v>86</v>
      </c>
      <c r="AD103">
        <v>1</v>
      </c>
      <c r="AE103" t="s">
        <v>42</v>
      </c>
      <c r="AF103" t="s">
        <v>175</v>
      </c>
    </row>
    <row r="104" spans="1:32" x14ac:dyDescent="0.2">
      <c r="A104" t="s">
        <v>172</v>
      </c>
      <c r="B104" t="s">
        <v>33</v>
      </c>
      <c r="C104" t="s">
        <v>34</v>
      </c>
      <c r="D104" t="s">
        <v>173</v>
      </c>
      <c r="E104" t="s">
        <v>36</v>
      </c>
      <c r="F104">
        <v>0.27207015043848898</v>
      </c>
      <c r="J104">
        <v>712.80866025065404</v>
      </c>
      <c r="O104" s="1">
        <v>45149.741574074076</v>
      </c>
      <c r="P104" s="1">
        <v>45149.74181712963</v>
      </c>
      <c r="Q104" t="s">
        <v>37</v>
      </c>
      <c r="R104">
        <v>60727</v>
      </c>
      <c r="S104">
        <v>0</v>
      </c>
      <c r="U104" t="s">
        <v>38</v>
      </c>
      <c r="V104">
        <v>0.23819918144611199</v>
      </c>
      <c r="W104">
        <v>176.016914075496</v>
      </c>
      <c r="X104" t="s">
        <v>39</v>
      </c>
      <c r="Y104" t="s">
        <v>40</v>
      </c>
      <c r="Z104">
        <v>1</v>
      </c>
      <c r="AA104">
        <v>96.739854724583495</v>
      </c>
      <c r="AB104">
        <v>14660</v>
      </c>
      <c r="AC104" t="s">
        <v>86</v>
      </c>
      <c r="AD104">
        <v>1</v>
      </c>
      <c r="AE104" t="s">
        <v>42</v>
      </c>
      <c r="AF104" t="s">
        <v>176</v>
      </c>
    </row>
    <row r="105" spans="1:32" x14ac:dyDescent="0.2">
      <c r="A105" t="s">
        <v>172</v>
      </c>
      <c r="B105" t="s">
        <v>33</v>
      </c>
      <c r="C105" t="s">
        <v>34</v>
      </c>
      <c r="D105" t="s">
        <v>173</v>
      </c>
      <c r="E105" t="s">
        <v>36</v>
      </c>
      <c r="G105">
        <v>0.25197987128861798</v>
      </c>
      <c r="H105">
        <v>2.5932178294787299E-2</v>
      </c>
      <c r="I105">
        <v>0.102913689741053</v>
      </c>
      <c r="K105">
        <v>656.56650608924201</v>
      </c>
      <c r="L105">
        <v>72.670659223886005</v>
      </c>
      <c r="M105">
        <v>0.110682860837267</v>
      </c>
      <c r="O105" s="1">
        <v>45149.741574074076</v>
      </c>
      <c r="P105" s="1">
        <v>45149.74181712963</v>
      </c>
      <c r="U105" t="s">
        <v>38</v>
      </c>
      <c r="AC105" t="s">
        <v>86</v>
      </c>
      <c r="AD105">
        <v>1</v>
      </c>
      <c r="AE105" t="s">
        <v>42</v>
      </c>
    </row>
    <row r="106" spans="1:32" x14ac:dyDescent="0.2">
      <c r="A106" t="s">
        <v>177</v>
      </c>
      <c r="B106" t="s">
        <v>33</v>
      </c>
      <c r="C106" t="s">
        <v>34</v>
      </c>
      <c r="D106" t="s">
        <v>178</v>
      </c>
      <c r="E106" t="s">
        <v>36</v>
      </c>
      <c r="F106">
        <v>0.86299780961829398</v>
      </c>
      <c r="J106">
        <v>2304.9146892486301</v>
      </c>
      <c r="O106" s="1">
        <v>45149.742094907408</v>
      </c>
      <c r="P106" s="1">
        <v>45149.742337962962</v>
      </c>
      <c r="Q106" t="s">
        <v>37</v>
      </c>
      <c r="R106">
        <v>60728</v>
      </c>
      <c r="S106">
        <v>0</v>
      </c>
      <c r="U106" t="s">
        <v>38</v>
      </c>
      <c r="V106">
        <v>0.96790574852732103</v>
      </c>
      <c r="W106">
        <v>176.016914075496</v>
      </c>
      <c r="X106" t="s">
        <v>80</v>
      </c>
      <c r="Y106" t="s">
        <v>40</v>
      </c>
      <c r="Z106">
        <v>1</v>
      </c>
      <c r="AA106">
        <v>156.93905272703</v>
      </c>
      <c r="AB106">
        <v>14769</v>
      </c>
      <c r="AC106" t="s">
        <v>86</v>
      </c>
      <c r="AD106">
        <v>1</v>
      </c>
      <c r="AE106" t="s">
        <v>42</v>
      </c>
      <c r="AF106" t="s">
        <v>179</v>
      </c>
    </row>
    <row r="107" spans="1:32" x14ac:dyDescent="0.2">
      <c r="A107" t="s">
        <v>177</v>
      </c>
      <c r="B107" t="s">
        <v>33</v>
      </c>
      <c r="C107" t="s">
        <v>34</v>
      </c>
      <c r="D107" t="s">
        <v>178</v>
      </c>
      <c r="E107" t="s">
        <v>36</v>
      </c>
      <c r="F107">
        <v>0.92716071529283195</v>
      </c>
      <c r="J107">
        <v>2473.62331375447</v>
      </c>
      <c r="O107" s="1">
        <v>45149.742615740739</v>
      </c>
      <c r="P107" s="1">
        <v>45149.74287037037</v>
      </c>
      <c r="Q107" t="s">
        <v>37</v>
      </c>
      <c r="R107">
        <v>60729</v>
      </c>
      <c r="S107">
        <v>0</v>
      </c>
      <c r="U107" t="s">
        <v>38</v>
      </c>
      <c r="V107">
        <v>0.97752808988763995</v>
      </c>
      <c r="W107">
        <v>176.016914075496</v>
      </c>
      <c r="X107" t="s">
        <v>80</v>
      </c>
      <c r="Y107" t="s">
        <v>40</v>
      </c>
      <c r="Z107">
        <v>1</v>
      </c>
      <c r="AA107">
        <v>166.94759940518099</v>
      </c>
      <c r="AB107">
        <v>14774</v>
      </c>
      <c r="AC107" t="s">
        <v>86</v>
      </c>
      <c r="AD107">
        <v>1</v>
      </c>
      <c r="AE107" t="s">
        <v>42</v>
      </c>
      <c r="AF107" t="s">
        <v>180</v>
      </c>
    </row>
    <row r="108" spans="1:32" x14ac:dyDescent="0.2">
      <c r="A108" t="s">
        <v>177</v>
      </c>
      <c r="B108" t="s">
        <v>33</v>
      </c>
      <c r="C108" t="s">
        <v>34</v>
      </c>
      <c r="D108" t="s">
        <v>178</v>
      </c>
      <c r="E108" t="s">
        <v>36</v>
      </c>
      <c r="F108">
        <v>0.89799545029971695</v>
      </c>
      <c r="J108">
        <v>2397.00687455662</v>
      </c>
      <c r="O108" s="1">
        <v>45149.743136574078</v>
      </c>
      <c r="P108" s="1">
        <v>45149.743391203701</v>
      </c>
      <c r="Q108" t="s">
        <v>37</v>
      </c>
      <c r="R108">
        <v>60730</v>
      </c>
      <c r="S108">
        <v>0</v>
      </c>
      <c r="U108" t="s">
        <v>38</v>
      </c>
      <c r="V108">
        <v>0.97038562039749798</v>
      </c>
      <c r="W108">
        <v>176.016914075496</v>
      </c>
      <c r="X108" t="s">
        <v>80</v>
      </c>
      <c r="Y108" t="s">
        <v>40</v>
      </c>
      <c r="Z108">
        <v>1</v>
      </c>
      <c r="AA108">
        <v>162.88616060782601</v>
      </c>
      <c r="AB108">
        <v>12629</v>
      </c>
      <c r="AC108" t="s">
        <v>86</v>
      </c>
      <c r="AD108">
        <v>1</v>
      </c>
      <c r="AE108" t="s">
        <v>42</v>
      </c>
      <c r="AF108" t="s">
        <v>181</v>
      </c>
    </row>
    <row r="109" spans="1:32" x14ac:dyDescent="0.2">
      <c r="A109" t="s">
        <v>177</v>
      </c>
      <c r="B109" t="s">
        <v>33</v>
      </c>
      <c r="C109" t="s">
        <v>34</v>
      </c>
      <c r="D109" t="s">
        <v>178</v>
      </c>
      <c r="E109" t="s">
        <v>36</v>
      </c>
      <c r="G109">
        <v>0.89605132507028096</v>
      </c>
      <c r="H109">
        <v>3.2125602458642002E-2</v>
      </c>
      <c r="I109">
        <v>3.5852413315858103E-2</v>
      </c>
      <c r="K109">
        <v>2391.84829251991</v>
      </c>
      <c r="L109">
        <v>84.472529393495407</v>
      </c>
      <c r="M109">
        <v>3.5316842484395303E-2</v>
      </c>
      <c r="O109" s="1">
        <v>45149.743136574078</v>
      </c>
      <c r="P109" s="1">
        <v>45149.743391203701</v>
      </c>
      <c r="U109" t="s">
        <v>38</v>
      </c>
      <c r="AC109" t="s">
        <v>86</v>
      </c>
      <c r="AD109">
        <v>1</v>
      </c>
      <c r="AE109" t="s">
        <v>42</v>
      </c>
    </row>
    <row r="110" spans="1:32" x14ac:dyDescent="0.2">
      <c r="A110" t="s">
        <v>182</v>
      </c>
      <c r="B110" t="s">
        <v>33</v>
      </c>
      <c r="C110" t="s">
        <v>34</v>
      </c>
      <c r="D110" t="s">
        <v>183</v>
      </c>
      <c r="E110" t="s">
        <v>36</v>
      </c>
      <c r="F110">
        <v>0.34353520446222502</v>
      </c>
      <c r="J110">
        <v>910.77264236727797</v>
      </c>
      <c r="O110" s="1">
        <v>45149.743657407409</v>
      </c>
      <c r="P110" s="1">
        <v>45149.74391203704</v>
      </c>
      <c r="Q110" t="s">
        <v>37</v>
      </c>
      <c r="R110">
        <v>60731</v>
      </c>
      <c r="S110">
        <v>0</v>
      </c>
      <c r="U110" t="s">
        <v>38</v>
      </c>
      <c r="V110">
        <v>0.29074148835957497</v>
      </c>
      <c r="W110">
        <v>176.016914075496</v>
      </c>
      <c r="X110" t="s">
        <v>39</v>
      </c>
      <c r="Y110" t="s">
        <v>40</v>
      </c>
      <c r="Z110">
        <v>1</v>
      </c>
      <c r="AA110">
        <v>90.412938707359999</v>
      </c>
      <c r="AB110">
        <v>14862</v>
      </c>
      <c r="AC110" t="s">
        <v>86</v>
      </c>
      <c r="AD110">
        <v>1</v>
      </c>
      <c r="AE110" t="s">
        <v>42</v>
      </c>
      <c r="AF110" t="s">
        <v>184</v>
      </c>
    </row>
    <row r="111" spans="1:32" x14ac:dyDescent="0.2">
      <c r="A111" t="s">
        <v>182</v>
      </c>
      <c r="B111" t="s">
        <v>33</v>
      </c>
      <c r="C111" t="s">
        <v>34</v>
      </c>
      <c r="D111" t="s">
        <v>183</v>
      </c>
      <c r="E111" t="s">
        <v>36</v>
      </c>
      <c r="F111">
        <v>0.32645919292527298</v>
      </c>
      <c r="J111">
        <v>863.67987712646698</v>
      </c>
      <c r="O111" s="1">
        <v>45149.74417824074</v>
      </c>
      <c r="P111" s="1">
        <v>45149.744432870371</v>
      </c>
      <c r="Q111" t="s">
        <v>37</v>
      </c>
      <c r="R111">
        <v>60732</v>
      </c>
      <c r="S111">
        <v>0</v>
      </c>
      <c r="U111" t="s">
        <v>38</v>
      </c>
      <c r="V111">
        <v>0.27852618431617399</v>
      </c>
      <c r="W111">
        <v>176.016914075496</v>
      </c>
      <c r="X111" t="s">
        <v>39</v>
      </c>
      <c r="Y111" t="s">
        <v>40</v>
      </c>
      <c r="Z111">
        <v>1</v>
      </c>
      <c r="AA111">
        <v>86.197657571869797</v>
      </c>
      <c r="AB111">
        <v>11209</v>
      </c>
      <c r="AC111" t="s">
        <v>86</v>
      </c>
      <c r="AD111">
        <v>1</v>
      </c>
      <c r="AE111" t="s">
        <v>42</v>
      </c>
      <c r="AF111" t="s">
        <v>185</v>
      </c>
    </row>
    <row r="112" spans="1:32" x14ac:dyDescent="0.2">
      <c r="A112" t="s">
        <v>182</v>
      </c>
      <c r="B112" t="s">
        <v>33</v>
      </c>
      <c r="C112" t="s">
        <v>34</v>
      </c>
      <c r="D112" t="s">
        <v>183</v>
      </c>
      <c r="E112" t="s">
        <v>36</v>
      </c>
      <c r="F112">
        <v>0.349188372032052</v>
      </c>
      <c r="J112">
        <v>926.33678564601598</v>
      </c>
      <c r="O112" s="1">
        <v>45149.744699074072</v>
      </c>
      <c r="P112" s="1">
        <v>45149.744953703703</v>
      </c>
      <c r="Q112" t="s">
        <v>37</v>
      </c>
      <c r="R112">
        <v>60733</v>
      </c>
      <c r="S112">
        <v>0</v>
      </c>
      <c r="U112" t="s">
        <v>38</v>
      </c>
      <c r="V112">
        <v>0.29473973355308303</v>
      </c>
      <c r="W112">
        <v>176.016914075496</v>
      </c>
      <c r="X112" t="s">
        <v>39</v>
      </c>
      <c r="Y112" t="s">
        <v>40</v>
      </c>
      <c r="Z112">
        <v>1</v>
      </c>
      <c r="AA112">
        <v>90.356594535812604</v>
      </c>
      <c r="AB112">
        <v>14562</v>
      </c>
      <c r="AC112" t="s">
        <v>86</v>
      </c>
      <c r="AD112">
        <v>1</v>
      </c>
      <c r="AE112" t="s">
        <v>42</v>
      </c>
      <c r="AF112" t="s">
        <v>186</v>
      </c>
    </row>
    <row r="113" spans="1:32" x14ac:dyDescent="0.2">
      <c r="A113" t="s">
        <v>182</v>
      </c>
      <c r="B113" t="s">
        <v>33</v>
      </c>
      <c r="C113" t="s">
        <v>34</v>
      </c>
      <c r="D113" t="s">
        <v>183</v>
      </c>
      <c r="E113" t="s">
        <v>36</v>
      </c>
      <c r="G113">
        <v>0.33972758980651702</v>
      </c>
      <c r="H113">
        <v>1.1833314951516599E-2</v>
      </c>
      <c r="I113">
        <v>3.4831774947262702E-2</v>
      </c>
      <c r="K113">
        <v>900.26310171325395</v>
      </c>
      <c r="L113">
        <v>32.623762503361299</v>
      </c>
      <c r="M113">
        <v>3.62380313502534E-2</v>
      </c>
      <c r="O113" s="1">
        <v>45149.744699074072</v>
      </c>
      <c r="P113" s="1">
        <v>45149.744953703703</v>
      </c>
      <c r="U113" t="s">
        <v>38</v>
      </c>
      <c r="AC113" t="s">
        <v>86</v>
      </c>
      <c r="AD113">
        <v>1</v>
      </c>
      <c r="AE113" t="s">
        <v>42</v>
      </c>
    </row>
    <row r="114" spans="1:32" x14ac:dyDescent="0.2">
      <c r="A114" t="s">
        <v>187</v>
      </c>
      <c r="B114" t="s">
        <v>33</v>
      </c>
      <c r="C114" t="s">
        <v>34</v>
      </c>
      <c r="D114" t="s">
        <v>188</v>
      </c>
      <c r="E114" t="s">
        <v>36</v>
      </c>
      <c r="F114">
        <v>0.15722404623886799</v>
      </c>
      <c r="J114">
        <v>388.41028589341101</v>
      </c>
      <c r="O114" s="1">
        <v>45149.745219907411</v>
      </c>
      <c r="P114" s="1">
        <v>45149.745474537034</v>
      </c>
      <c r="Q114" t="s">
        <v>37</v>
      </c>
      <c r="R114">
        <v>60734</v>
      </c>
      <c r="S114">
        <v>0</v>
      </c>
      <c r="U114" t="s">
        <v>38</v>
      </c>
      <c r="V114">
        <v>0.14548741296197101</v>
      </c>
      <c r="W114">
        <v>176.016914075496</v>
      </c>
      <c r="X114" t="s">
        <v>39</v>
      </c>
      <c r="Y114" t="s">
        <v>40</v>
      </c>
      <c r="Z114">
        <v>1</v>
      </c>
      <c r="AA114">
        <v>97.7561135729093</v>
      </c>
      <c r="AB114">
        <v>14936</v>
      </c>
      <c r="AC114" t="s">
        <v>86</v>
      </c>
      <c r="AD114">
        <v>1</v>
      </c>
      <c r="AE114" t="s">
        <v>42</v>
      </c>
      <c r="AF114" t="s">
        <v>189</v>
      </c>
    </row>
    <row r="115" spans="1:32" x14ac:dyDescent="0.2">
      <c r="A115" t="s">
        <v>187</v>
      </c>
      <c r="B115" t="s">
        <v>33</v>
      </c>
      <c r="C115" t="s">
        <v>34</v>
      </c>
      <c r="D115" t="s">
        <v>188</v>
      </c>
      <c r="E115" t="s">
        <v>36</v>
      </c>
      <c r="F115">
        <v>0.16116349495558199</v>
      </c>
      <c r="J115">
        <v>399.71342043758801</v>
      </c>
      <c r="O115" s="1">
        <v>45149.745740740742</v>
      </c>
      <c r="P115" s="1">
        <v>45149.745995370373</v>
      </c>
      <c r="Q115" t="s">
        <v>37</v>
      </c>
      <c r="R115">
        <v>60735</v>
      </c>
      <c r="S115">
        <v>0</v>
      </c>
      <c r="U115" t="s">
        <v>38</v>
      </c>
      <c r="V115">
        <v>0.14884709947504801</v>
      </c>
      <c r="W115">
        <v>176.016914075496</v>
      </c>
      <c r="X115" t="s">
        <v>39</v>
      </c>
      <c r="Y115" t="s">
        <v>40</v>
      </c>
      <c r="Z115">
        <v>1</v>
      </c>
      <c r="AA115">
        <v>96.940603278994899</v>
      </c>
      <c r="AB115">
        <v>15049</v>
      </c>
      <c r="AC115" t="s">
        <v>86</v>
      </c>
      <c r="AD115">
        <v>1</v>
      </c>
      <c r="AE115" t="s">
        <v>42</v>
      </c>
      <c r="AF115" t="s">
        <v>190</v>
      </c>
    </row>
    <row r="116" spans="1:32" x14ac:dyDescent="0.2">
      <c r="A116" t="s">
        <v>187</v>
      </c>
      <c r="B116" t="s">
        <v>33</v>
      </c>
      <c r="C116" t="s">
        <v>34</v>
      </c>
      <c r="D116" t="s">
        <v>188</v>
      </c>
      <c r="E116" t="s">
        <v>36</v>
      </c>
      <c r="F116">
        <v>0.146311119270922</v>
      </c>
      <c r="J116">
        <v>357.012861050021</v>
      </c>
      <c r="O116" s="1">
        <v>45149.746261574073</v>
      </c>
      <c r="P116" s="1">
        <v>45149.746516203704</v>
      </c>
      <c r="Q116" t="s">
        <v>37</v>
      </c>
      <c r="R116">
        <v>60736</v>
      </c>
      <c r="S116">
        <v>0</v>
      </c>
      <c r="U116" t="s">
        <v>38</v>
      </c>
      <c r="V116">
        <v>0.13611111111111099</v>
      </c>
      <c r="W116">
        <v>176.016914075496</v>
      </c>
      <c r="X116" t="s">
        <v>39</v>
      </c>
      <c r="Y116" t="s">
        <v>40</v>
      </c>
      <c r="Z116">
        <v>1</v>
      </c>
      <c r="AA116">
        <v>94.429570801343104</v>
      </c>
      <c r="AB116">
        <v>14400</v>
      </c>
      <c r="AC116" t="s">
        <v>86</v>
      </c>
      <c r="AD116">
        <v>1</v>
      </c>
      <c r="AE116" t="s">
        <v>42</v>
      </c>
      <c r="AF116" t="s">
        <v>191</v>
      </c>
    </row>
    <row r="117" spans="1:32" x14ac:dyDescent="0.2">
      <c r="A117" t="s">
        <v>187</v>
      </c>
      <c r="B117" t="s">
        <v>33</v>
      </c>
      <c r="C117" t="s">
        <v>34</v>
      </c>
      <c r="D117" t="s">
        <v>188</v>
      </c>
      <c r="E117" t="s">
        <v>36</v>
      </c>
      <c r="G117">
        <v>0.15489955348845699</v>
      </c>
      <c r="H117">
        <v>7.6942001390404901E-3</v>
      </c>
      <c r="I117">
        <v>4.9672190563246801E-2</v>
      </c>
      <c r="K117">
        <v>381.71218912700698</v>
      </c>
      <c r="L117">
        <v>22.1242585914618</v>
      </c>
      <c r="M117">
        <v>5.7960576637756903E-2</v>
      </c>
      <c r="O117" s="1">
        <v>45149.746261574073</v>
      </c>
      <c r="P117" s="1">
        <v>45149.746516203704</v>
      </c>
      <c r="U117" t="s">
        <v>38</v>
      </c>
      <c r="AC117" t="s">
        <v>86</v>
      </c>
      <c r="AD117">
        <v>1</v>
      </c>
      <c r="AE117" t="s">
        <v>42</v>
      </c>
    </row>
    <row r="118" spans="1:32" x14ac:dyDescent="0.2">
      <c r="A118" t="s">
        <v>192</v>
      </c>
      <c r="B118" t="s">
        <v>33</v>
      </c>
      <c r="C118" t="s">
        <v>34</v>
      </c>
      <c r="D118" t="s">
        <v>193</v>
      </c>
      <c r="E118" t="s">
        <v>36</v>
      </c>
      <c r="F118">
        <v>3.2720886554543797E-2</v>
      </c>
      <c r="J118">
        <v>15.6808128403104</v>
      </c>
      <c r="O118" s="1">
        <v>45149.746782407405</v>
      </c>
      <c r="P118" s="1">
        <v>45149.747037037036</v>
      </c>
      <c r="Q118" t="s">
        <v>37</v>
      </c>
      <c r="R118">
        <v>60737</v>
      </c>
      <c r="S118">
        <v>0</v>
      </c>
      <c r="U118" t="s">
        <v>38</v>
      </c>
      <c r="V118">
        <v>3.21913496987681E-2</v>
      </c>
      <c r="W118">
        <v>176.016914075496</v>
      </c>
      <c r="X118" t="s">
        <v>39</v>
      </c>
      <c r="Y118" t="s">
        <v>40</v>
      </c>
      <c r="Z118">
        <v>1</v>
      </c>
      <c r="AA118">
        <v>192.58111852594899</v>
      </c>
      <c r="AB118">
        <v>11121</v>
      </c>
      <c r="AC118" t="s">
        <v>86</v>
      </c>
      <c r="AD118">
        <v>1</v>
      </c>
      <c r="AE118" t="s">
        <v>42</v>
      </c>
      <c r="AF118" t="s">
        <v>194</v>
      </c>
    </row>
    <row r="119" spans="1:32" x14ac:dyDescent="0.2">
      <c r="A119" t="s">
        <v>192</v>
      </c>
      <c r="B119" t="s">
        <v>33</v>
      </c>
      <c r="C119" t="s">
        <v>34</v>
      </c>
      <c r="D119" t="s">
        <v>193</v>
      </c>
      <c r="E119" t="s">
        <v>36</v>
      </c>
      <c r="F119">
        <v>3.2876263207992501E-2</v>
      </c>
      <c r="J119">
        <v>16.202690935096001</v>
      </c>
      <c r="O119" s="1">
        <v>45149.747303240743</v>
      </c>
      <c r="P119" s="1">
        <v>45149.747557870367</v>
      </c>
      <c r="Q119" t="s">
        <v>37</v>
      </c>
      <c r="R119">
        <v>60738</v>
      </c>
      <c r="S119">
        <v>0</v>
      </c>
      <c r="U119" t="s">
        <v>38</v>
      </c>
      <c r="V119">
        <v>3.23417128862638E-2</v>
      </c>
      <c r="W119">
        <v>176.016914075496</v>
      </c>
      <c r="X119" t="s">
        <v>39</v>
      </c>
      <c r="Y119" t="s">
        <v>40</v>
      </c>
      <c r="Z119">
        <v>1</v>
      </c>
      <c r="AA119">
        <v>185.397123313929</v>
      </c>
      <c r="AB119">
        <v>13883</v>
      </c>
      <c r="AC119" t="s">
        <v>86</v>
      </c>
      <c r="AD119">
        <v>1</v>
      </c>
      <c r="AE119" t="s">
        <v>42</v>
      </c>
      <c r="AF119" t="s">
        <v>195</v>
      </c>
    </row>
    <row r="120" spans="1:32" x14ac:dyDescent="0.2">
      <c r="A120" t="s">
        <v>192</v>
      </c>
      <c r="B120" t="s">
        <v>33</v>
      </c>
      <c r="C120" t="s">
        <v>34</v>
      </c>
      <c r="D120" t="s">
        <v>193</v>
      </c>
      <c r="E120" t="s">
        <v>36</v>
      </c>
      <c r="F120">
        <v>3.3521084281537099E-2</v>
      </c>
      <c r="J120">
        <v>18.359995809038899</v>
      </c>
      <c r="O120" s="1">
        <v>45149.747824074075</v>
      </c>
      <c r="P120" s="1">
        <v>45149.748078703706</v>
      </c>
      <c r="Q120" t="s">
        <v>37</v>
      </c>
      <c r="R120">
        <v>60739</v>
      </c>
      <c r="S120">
        <v>0</v>
      </c>
      <c r="U120" t="s">
        <v>38</v>
      </c>
      <c r="V120">
        <v>3.2965478211658197E-2</v>
      </c>
      <c r="W120">
        <v>176.016914075496</v>
      </c>
      <c r="X120" t="s">
        <v>39</v>
      </c>
      <c r="Y120" t="s">
        <v>40</v>
      </c>
      <c r="Z120">
        <v>1</v>
      </c>
      <c r="AA120">
        <v>205.19742034756001</v>
      </c>
      <c r="AB120">
        <v>14136</v>
      </c>
      <c r="AC120" t="s">
        <v>86</v>
      </c>
      <c r="AD120">
        <v>1</v>
      </c>
      <c r="AE120" t="s">
        <v>42</v>
      </c>
      <c r="AF120" t="s">
        <v>196</v>
      </c>
    </row>
    <row r="121" spans="1:32" x14ac:dyDescent="0.2">
      <c r="A121" t="s">
        <v>192</v>
      </c>
      <c r="B121" t="s">
        <v>33</v>
      </c>
      <c r="C121" t="s">
        <v>34</v>
      </c>
      <c r="D121" t="s">
        <v>193</v>
      </c>
      <c r="E121" t="s">
        <v>36</v>
      </c>
      <c r="G121">
        <v>3.3039411348024503E-2</v>
      </c>
      <c r="H121">
        <v>4.2431366613418303E-4</v>
      </c>
      <c r="I121">
        <v>1.28426521182422E-2</v>
      </c>
      <c r="K121">
        <v>16.747833194815101</v>
      </c>
      <c r="L121">
        <v>1.42034869221605</v>
      </c>
      <c r="M121">
        <v>8.4807907727178097E-2</v>
      </c>
      <c r="O121" s="1">
        <v>45149.747824074075</v>
      </c>
      <c r="P121" s="1">
        <v>45149.748078703706</v>
      </c>
      <c r="U121" t="s">
        <v>38</v>
      </c>
      <c r="AC121" t="s">
        <v>86</v>
      </c>
      <c r="AD121">
        <v>1</v>
      </c>
      <c r="AE121" t="s">
        <v>42</v>
      </c>
    </row>
    <row r="122" spans="1:32" x14ac:dyDescent="0.2">
      <c r="A122" t="s">
        <v>197</v>
      </c>
      <c r="B122" t="s">
        <v>33</v>
      </c>
      <c r="C122" t="s">
        <v>34</v>
      </c>
      <c r="D122" t="s">
        <v>198</v>
      </c>
      <c r="E122" t="s">
        <v>36</v>
      </c>
      <c r="F122">
        <v>6.7557444341708295E-2</v>
      </c>
      <c r="J122">
        <v>125.095085257828</v>
      </c>
      <c r="O122" s="1">
        <v>45149.748344907406</v>
      </c>
      <c r="P122" s="1">
        <v>45149.74858796296</v>
      </c>
      <c r="Q122" t="s">
        <v>37</v>
      </c>
      <c r="R122">
        <v>60740</v>
      </c>
      <c r="S122">
        <v>0</v>
      </c>
      <c r="U122" t="s">
        <v>38</v>
      </c>
      <c r="V122">
        <v>6.5325972660357501E-2</v>
      </c>
      <c r="W122">
        <v>176.016914075496</v>
      </c>
      <c r="X122" t="s">
        <v>39</v>
      </c>
      <c r="Y122" t="s">
        <v>40</v>
      </c>
      <c r="Z122">
        <v>1</v>
      </c>
      <c r="AA122">
        <v>129.82208387900801</v>
      </c>
      <c r="AB122">
        <v>15216</v>
      </c>
      <c r="AC122" t="s">
        <v>86</v>
      </c>
      <c r="AD122">
        <v>1</v>
      </c>
      <c r="AE122" t="s">
        <v>42</v>
      </c>
      <c r="AF122" t="s">
        <v>199</v>
      </c>
    </row>
    <row r="123" spans="1:32" x14ac:dyDescent="0.2">
      <c r="A123" t="s">
        <v>197</v>
      </c>
      <c r="B123" t="s">
        <v>33</v>
      </c>
      <c r="C123" t="s">
        <v>34</v>
      </c>
      <c r="D123" t="s">
        <v>198</v>
      </c>
      <c r="E123" t="s">
        <v>36</v>
      </c>
      <c r="F123">
        <v>7.4384274784223006E-2</v>
      </c>
      <c r="J123">
        <v>145.73697154553199</v>
      </c>
      <c r="O123" s="1">
        <v>45149.748865740738</v>
      </c>
      <c r="P123" s="1">
        <v>45149.749108796299</v>
      </c>
      <c r="Q123" t="s">
        <v>37</v>
      </c>
      <c r="R123">
        <v>60741</v>
      </c>
      <c r="S123">
        <v>0</v>
      </c>
      <c r="U123" t="s">
        <v>38</v>
      </c>
      <c r="V123">
        <v>7.1685102715127097E-2</v>
      </c>
      <c r="W123">
        <v>176.016914075496</v>
      </c>
      <c r="X123" t="s">
        <v>39</v>
      </c>
      <c r="Y123" t="s">
        <v>40</v>
      </c>
      <c r="Z123">
        <v>1</v>
      </c>
      <c r="AA123">
        <v>130.46346560073499</v>
      </c>
      <c r="AB123">
        <v>13922</v>
      </c>
      <c r="AC123" t="s">
        <v>86</v>
      </c>
      <c r="AD123">
        <v>1</v>
      </c>
      <c r="AE123" t="s">
        <v>42</v>
      </c>
      <c r="AF123" t="s">
        <v>200</v>
      </c>
    </row>
    <row r="124" spans="1:32" x14ac:dyDescent="0.2">
      <c r="A124" t="s">
        <v>197</v>
      </c>
      <c r="B124" t="s">
        <v>33</v>
      </c>
      <c r="C124" t="s">
        <v>34</v>
      </c>
      <c r="D124" t="s">
        <v>198</v>
      </c>
      <c r="E124" t="s">
        <v>36</v>
      </c>
      <c r="F124">
        <v>7.7845052448670404E-2</v>
      </c>
      <c r="J124">
        <v>156.14512764287801</v>
      </c>
      <c r="O124" s="1">
        <v>45149.749386574076</v>
      </c>
      <c r="P124" s="1">
        <v>45149.74962962963</v>
      </c>
      <c r="Q124" t="s">
        <v>37</v>
      </c>
      <c r="R124">
        <v>60742</v>
      </c>
      <c r="S124">
        <v>0</v>
      </c>
      <c r="U124" t="s">
        <v>38</v>
      </c>
      <c r="V124">
        <v>7.4892241379310304E-2</v>
      </c>
      <c r="W124">
        <v>176.016914075496</v>
      </c>
      <c r="X124" t="s">
        <v>39</v>
      </c>
      <c r="Y124" t="s">
        <v>40</v>
      </c>
      <c r="Z124">
        <v>1</v>
      </c>
      <c r="AA124">
        <v>131.47689063668099</v>
      </c>
      <c r="AB124">
        <v>14848</v>
      </c>
      <c r="AC124" t="s">
        <v>86</v>
      </c>
      <c r="AD124">
        <v>1</v>
      </c>
      <c r="AE124" t="s">
        <v>42</v>
      </c>
      <c r="AF124" t="s">
        <v>201</v>
      </c>
    </row>
    <row r="125" spans="1:32" x14ac:dyDescent="0.2">
      <c r="A125" t="s">
        <v>197</v>
      </c>
      <c r="B125" t="s">
        <v>33</v>
      </c>
      <c r="C125" t="s">
        <v>34</v>
      </c>
      <c r="D125" t="s">
        <v>198</v>
      </c>
      <c r="E125" t="s">
        <v>36</v>
      </c>
      <c r="G125">
        <v>7.3262257191533897E-2</v>
      </c>
      <c r="H125">
        <v>5.23477915000583E-3</v>
      </c>
      <c r="I125">
        <v>7.1452605347938306E-2</v>
      </c>
      <c r="K125">
        <v>142.32572814874601</v>
      </c>
      <c r="L125">
        <v>15.8035982979331</v>
      </c>
      <c r="M125">
        <v>0.111038239561414</v>
      </c>
      <c r="O125" s="1">
        <v>45149.749386574076</v>
      </c>
      <c r="P125" s="1">
        <v>45149.74962962963</v>
      </c>
      <c r="U125" t="s">
        <v>38</v>
      </c>
      <c r="AC125" t="s">
        <v>86</v>
      </c>
      <c r="AD125">
        <v>1</v>
      </c>
      <c r="AE125" t="s">
        <v>42</v>
      </c>
    </row>
    <row r="126" spans="1:32" x14ac:dyDescent="0.2">
      <c r="A126" t="s">
        <v>202</v>
      </c>
      <c r="B126" t="s">
        <v>33</v>
      </c>
      <c r="C126" t="s">
        <v>34</v>
      </c>
      <c r="D126" t="s">
        <v>203</v>
      </c>
      <c r="E126" t="s">
        <v>36</v>
      </c>
      <c r="F126">
        <v>0.68160621563172896</v>
      </c>
      <c r="J126">
        <v>1824.5923467656501</v>
      </c>
      <c r="O126" s="1">
        <v>45149.749907407408</v>
      </c>
      <c r="P126" s="1">
        <v>45149.750150462962</v>
      </c>
      <c r="Q126" t="s">
        <v>37</v>
      </c>
      <c r="R126">
        <v>60743</v>
      </c>
      <c r="S126">
        <v>0</v>
      </c>
      <c r="U126" t="s">
        <v>38</v>
      </c>
      <c r="V126">
        <v>0.912121212121212</v>
      </c>
      <c r="W126">
        <v>176.016914075496</v>
      </c>
      <c r="X126" t="s">
        <v>80</v>
      </c>
      <c r="Y126" t="s">
        <v>40</v>
      </c>
      <c r="Z126">
        <v>1</v>
      </c>
      <c r="AA126">
        <v>131.533200956005</v>
      </c>
      <c r="AB126">
        <v>14850</v>
      </c>
      <c r="AC126" t="s">
        <v>86</v>
      </c>
      <c r="AD126">
        <v>1</v>
      </c>
      <c r="AE126" t="s">
        <v>42</v>
      </c>
      <c r="AF126" t="s">
        <v>204</v>
      </c>
    </row>
    <row r="127" spans="1:32" x14ac:dyDescent="0.2">
      <c r="A127" t="s">
        <v>202</v>
      </c>
      <c r="B127" t="s">
        <v>33</v>
      </c>
      <c r="C127" t="s">
        <v>34</v>
      </c>
      <c r="D127" t="s">
        <v>203</v>
      </c>
      <c r="E127" t="s">
        <v>36</v>
      </c>
      <c r="F127">
        <v>0.72218664635065599</v>
      </c>
      <c r="J127">
        <v>1932.52476023393</v>
      </c>
      <c r="O127" s="1">
        <v>45149.750428240739</v>
      </c>
      <c r="P127" s="1">
        <v>45149.75068287037</v>
      </c>
      <c r="Q127" t="s">
        <v>37</v>
      </c>
      <c r="R127">
        <v>60744</v>
      </c>
      <c r="S127">
        <v>0</v>
      </c>
      <c r="U127" t="s">
        <v>38</v>
      </c>
      <c r="V127">
        <v>0.93769230769230805</v>
      </c>
      <c r="W127">
        <v>176.016914075496</v>
      </c>
      <c r="X127" t="s">
        <v>80</v>
      </c>
      <c r="Y127" t="s">
        <v>40</v>
      </c>
      <c r="Z127">
        <v>1</v>
      </c>
      <c r="AA127">
        <v>135.56372792479601</v>
      </c>
      <c r="AB127">
        <v>14300</v>
      </c>
      <c r="AC127" t="s">
        <v>86</v>
      </c>
      <c r="AD127">
        <v>1</v>
      </c>
      <c r="AE127" t="s">
        <v>42</v>
      </c>
      <c r="AF127" t="s">
        <v>205</v>
      </c>
    </row>
    <row r="128" spans="1:32" x14ac:dyDescent="0.2">
      <c r="A128" t="s">
        <v>202</v>
      </c>
      <c r="B128" t="s">
        <v>33</v>
      </c>
      <c r="C128" t="s">
        <v>34</v>
      </c>
      <c r="D128" t="s">
        <v>203</v>
      </c>
      <c r="E128" t="s">
        <v>36</v>
      </c>
      <c r="F128">
        <v>0.69152350255363404</v>
      </c>
      <c r="J128">
        <v>1850.9970894256601</v>
      </c>
      <c r="O128" s="1">
        <v>45149.750949074078</v>
      </c>
      <c r="P128" s="1">
        <v>45149.751203703701</v>
      </c>
      <c r="Q128" t="s">
        <v>37</v>
      </c>
      <c r="R128">
        <v>60745</v>
      </c>
      <c r="S128">
        <v>0</v>
      </c>
      <c r="U128" t="s">
        <v>38</v>
      </c>
      <c r="V128">
        <v>0.92983481947083801</v>
      </c>
      <c r="W128">
        <v>176.016914075496</v>
      </c>
      <c r="X128" t="s">
        <v>80</v>
      </c>
      <c r="Y128" t="s">
        <v>40</v>
      </c>
      <c r="Z128">
        <v>1</v>
      </c>
      <c r="AA128">
        <v>130.90479123962999</v>
      </c>
      <c r="AB128">
        <v>13682</v>
      </c>
      <c r="AC128" t="s">
        <v>86</v>
      </c>
      <c r="AD128">
        <v>1</v>
      </c>
      <c r="AE128" t="s">
        <v>42</v>
      </c>
      <c r="AF128" t="s">
        <v>206</v>
      </c>
    </row>
    <row r="129" spans="1:32" x14ac:dyDescent="0.2">
      <c r="A129" t="s">
        <v>202</v>
      </c>
      <c r="B129" t="s">
        <v>33</v>
      </c>
      <c r="C129" t="s">
        <v>34</v>
      </c>
      <c r="D129" t="s">
        <v>203</v>
      </c>
      <c r="E129" t="s">
        <v>36</v>
      </c>
      <c r="G129">
        <v>0.698438788178673</v>
      </c>
      <c r="H129">
        <v>2.1155583678790901E-2</v>
      </c>
      <c r="I129">
        <v>3.0289817857852099E-2</v>
      </c>
      <c r="K129">
        <v>1869.3713988084201</v>
      </c>
      <c r="L129">
        <v>56.263335336978002</v>
      </c>
      <c r="M129">
        <v>3.00974623730959E-2</v>
      </c>
      <c r="O129" s="1">
        <v>45149.750949074078</v>
      </c>
      <c r="P129" s="1">
        <v>45149.751203703701</v>
      </c>
      <c r="U129" t="s">
        <v>38</v>
      </c>
      <c r="AC129" t="s">
        <v>86</v>
      </c>
      <c r="AD129">
        <v>1</v>
      </c>
      <c r="AE129" t="s">
        <v>42</v>
      </c>
    </row>
    <row r="130" spans="1:32" x14ac:dyDescent="0.2">
      <c r="A130" t="s">
        <v>207</v>
      </c>
      <c r="B130" t="s">
        <v>33</v>
      </c>
      <c r="C130" t="s">
        <v>34</v>
      </c>
      <c r="D130" t="s">
        <v>208</v>
      </c>
      <c r="E130" t="s">
        <v>36</v>
      </c>
      <c r="F130">
        <v>2.7559910092643101E-2</v>
      </c>
      <c r="J130" t="s">
        <v>46</v>
      </c>
      <c r="O130" s="1">
        <v>45149.754074074073</v>
      </c>
      <c r="P130" s="1">
        <v>45149.754317129627</v>
      </c>
      <c r="Q130" t="s">
        <v>37</v>
      </c>
      <c r="R130">
        <v>60746</v>
      </c>
      <c r="S130">
        <v>1</v>
      </c>
      <c r="T130" t="s">
        <v>153</v>
      </c>
      <c r="U130" t="s">
        <v>38</v>
      </c>
      <c r="V130">
        <v>2.7183600713012498E-2</v>
      </c>
      <c r="W130">
        <v>176.016914075496</v>
      </c>
      <c r="X130" t="s">
        <v>39</v>
      </c>
      <c r="Y130" t="s">
        <v>154</v>
      </c>
      <c r="Z130">
        <v>1</v>
      </c>
      <c r="AA130">
        <v>201.322794495652</v>
      </c>
      <c r="AB130">
        <v>17952</v>
      </c>
      <c r="AC130" t="s">
        <v>86</v>
      </c>
      <c r="AD130">
        <v>1</v>
      </c>
      <c r="AE130" t="s">
        <v>42</v>
      </c>
      <c r="AF130" t="s">
        <v>209</v>
      </c>
    </row>
    <row r="131" spans="1:32" x14ac:dyDescent="0.2">
      <c r="A131" t="s">
        <v>207</v>
      </c>
      <c r="B131" t="s">
        <v>33</v>
      </c>
      <c r="C131" t="s">
        <v>34</v>
      </c>
      <c r="D131" t="s">
        <v>208</v>
      </c>
      <c r="E131" t="s">
        <v>36</v>
      </c>
      <c r="F131">
        <v>3.1876386814902097E-2</v>
      </c>
      <c r="J131">
        <v>12.828448089620901</v>
      </c>
      <c r="O131" s="1">
        <v>45149.754594907405</v>
      </c>
      <c r="P131" s="1">
        <v>45149.754849537036</v>
      </c>
      <c r="Q131" t="s">
        <v>37</v>
      </c>
      <c r="R131">
        <v>60747</v>
      </c>
      <c r="S131">
        <v>0</v>
      </c>
      <c r="U131" t="s">
        <v>38</v>
      </c>
      <c r="V131">
        <v>3.1373690337601901E-2</v>
      </c>
      <c r="W131">
        <v>176.016914075496</v>
      </c>
      <c r="X131" t="s">
        <v>39</v>
      </c>
      <c r="Y131" t="s">
        <v>40</v>
      </c>
      <c r="Z131">
        <v>1</v>
      </c>
      <c r="AA131">
        <v>205.00770777586499</v>
      </c>
      <c r="AB131">
        <v>17180</v>
      </c>
      <c r="AC131" t="s">
        <v>86</v>
      </c>
      <c r="AD131">
        <v>1</v>
      </c>
      <c r="AE131" t="s">
        <v>42</v>
      </c>
      <c r="AF131" t="s">
        <v>210</v>
      </c>
    </row>
    <row r="132" spans="1:32" x14ac:dyDescent="0.2">
      <c r="A132" t="s">
        <v>207</v>
      </c>
      <c r="B132" t="s">
        <v>33</v>
      </c>
      <c r="C132" t="s">
        <v>34</v>
      </c>
      <c r="D132" t="s">
        <v>208</v>
      </c>
      <c r="E132" t="s">
        <v>36</v>
      </c>
      <c r="F132">
        <v>3.35346524337886E-2</v>
      </c>
      <c r="J132">
        <v>18.405250162261598</v>
      </c>
      <c r="O132" s="1">
        <v>45149.755115740743</v>
      </c>
      <c r="P132" s="1">
        <v>45149.755370370367</v>
      </c>
      <c r="Q132" t="s">
        <v>37</v>
      </c>
      <c r="R132">
        <v>60748</v>
      </c>
      <c r="S132">
        <v>0</v>
      </c>
      <c r="U132" t="s">
        <v>38</v>
      </c>
      <c r="V132">
        <v>3.2978598994269699E-2</v>
      </c>
      <c r="W132">
        <v>176.016914075496</v>
      </c>
      <c r="X132" t="s">
        <v>39</v>
      </c>
      <c r="Y132" t="s">
        <v>40</v>
      </c>
      <c r="Z132">
        <v>1</v>
      </c>
      <c r="AA132">
        <v>194.944454774137</v>
      </c>
      <c r="AB132">
        <v>17102</v>
      </c>
      <c r="AC132" t="s">
        <v>86</v>
      </c>
      <c r="AD132">
        <v>1</v>
      </c>
      <c r="AE132" t="s">
        <v>42</v>
      </c>
      <c r="AF132" t="s">
        <v>211</v>
      </c>
    </row>
    <row r="133" spans="1:32" x14ac:dyDescent="0.2">
      <c r="A133" t="s">
        <v>207</v>
      </c>
      <c r="B133" t="s">
        <v>33</v>
      </c>
      <c r="C133" t="s">
        <v>34</v>
      </c>
      <c r="D133" t="s">
        <v>208</v>
      </c>
      <c r="E133" t="s">
        <v>36</v>
      </c>
      <c r="G133">
        <v>3.09903164471113E-2</v>
      </c>
      <c r="H133">
        <v>3.0843519632618201E-3</v>
      </c>
      <c r="I133">
        <v>9.9526313922145504E-2</v>
      </c>
      <c r="K133">
        <v>15.6168491259413</v>
      </c>
      <c r="L133">
        <v>3.9433945628994</v>
      </c>
      <c r="M133">
        <v>0.25250897483212598</v>
      </c>
      <c r="O133" s="1">
        <v>45149.755115740743</v>
      </c>
      <c r="P133" s="1">
        <v>45149.755370370367</v>
      </c>
      <c r="U133" t="s">
        <v>38</v>
      </c>
      <c r="AC133" t="s">
        <v>86</v>
      </c>
      <c r="AD133">
        <v>1</v>
      </c>
      <c r="AE133" t="s">
        <v>42</v>
      </c>
    </row>
    <row r="134" spans="1:32" x14ac:dyDescent="0.2">
      <c r="A134" t="s">
        <v>212</v>
      </c>
      <c r="B134" t="s">
        <v>33</v>
      </c>
      <c r="C134" t="s">
        <v>34</v>
      </c>
      <c r="D134" t="s">
        <v>213</v>
      </c>
      <c r="E134" t="s">
        <v>36</v>
      </c>
      <c r="F134">
        <v>3.0939316273057901E-2</v>
      </c>
      <c r="J134">
        <v>9.6257750122292904</v>
      </c>
      <c r="O134" s="1">
        <v>45149.755636574075</v>
      </c>
      <c r="P134" s="1">
        <v>45149.755879629629</v>
      </c>
      <c r="Q134" t="s">
        <v>37</v>
      </c>
      <c r="R134">
        <v>60749</v>
      </c>
      <c r="S134">
        <v>0</v>
      </c>
      <c r="U134" t="s">
        <v>38</v>
      </c>
      <c r="V134">
        <v>3.04655937479303E-2</v>
      </c>
      <c r="W134">
        <v>176.016914075496</v>
      </c>
      <c r="X134" t="s">
        <v>39</v>
      </c>
      <c r="Y134" t="s">
        <v>40</v>
      </c>
      <c r="Z134">
        <v>1</v>
      </c>
      <c r="AA134">
        <v>207.109768461236</v>
      </c>
      <c r="AB134">
        <v>15099</v>
      </c>
      <c r="AC134" t="s">
        <v>86</v>
      </c>
      <c r="AD134">
        <v>1</v>
      </c>
      <c r="AE134" t="s">
        <v>42</v>
      </c>
      <c r="AF134" t="s">
        <v>214</v>
      </c>
    </row>
    <row r="135" spans="1:32" x14ac:dyDescent="0.2">
      <c r="A135" t="s">
        <v>212</v>
      </c>
      <c r="B135" t="s">
        <v>33</v>
      </c>
      <c r="C135" t="s">
        <v>34</v>
      </c>
      <c r="D135" t="s">
        <v>213</v>
      </c>
      <c r="E135" t="s">
        <v>36</v>
      </c>
      <c r="F135">
        <v>3.2124885484296699E-2</v>
      </c>
      <c r="J135">
        <v>13.670736246120301</v>
      </c>
      <c r="O135" s="1">
        <v>45149.756157407406</v>
      </c>
      <c r="P135" s="1">
        <v>45149.75640046296</v>
      </c>
      <c r="Q135" t="s">
        <v>37</v>
      </c>
      <c r="R135">
        <v>60750</v>
      </c>
      <c r="S135">
        <v>0</v>
      </c>
      <c r="U135" t="s">
        <v>38</v>
      </c>
      <c r="V135">
        <v>3.16143627820639E-2</v>
      </c>
      <c r="W135">
        <v>176.016914075496</v>
      </c>
      <c r="X135" t="s">
        <v>39</v>
      </c>
      <c r="Y135" t="s">
        <v>40</v>
      </c>
      <c r="Z135">
        <v>1</v>
      </c>
      <c r="AA135">
        <v>188.61590429066399</v>
      </c>
      <c r="AB135">
        <v>17239</v>
      </c>
      <c r="AC135" t="s">
        <v>86</v>
      </c>
      <c r="AD135">
        <v>1</v>
      </c>
      <c r="AE135" t="s">
        <v>42</v>
      </c>
      <c r="AF135" t="s">
        <v>215</v>
      </c>
    </row>
    <row r="136" spans="1:32" x14ac:dyDescent="0.2">
      <c r="A136" t="s">
        <v>212</v>
      </c>
      <c r="B136" t="s">
        <v>33</v>
      </c>
      <c r="C136" t="s">
        <v>34</v>
      </c>
      <c r="D136" t="s">
        <v>213</v>
      </c>
      <c r="E136" t="s">
        <v>36</v>
      </c>
      <c r="F136">
        <v>3.2685114269634302E-2</v>
      </c>
      <c r="J136">
        <v>15.560541074442201</v>
      </c>
      <c r="O136" s="1">
        <v>45149.756678240738</v>
      </c>
      <c r="P136" s="1">
        <v>45149.756921296299</v>
      </c>
      <c r="Q136" t="s">
        <v>37</v>
      </c>
      <c r="R136">
        <v>60751</v>
      </c>
      <c r="S136">
        <v>0</v>
      </c>
      <c r="U136" t="s">
        <v>38</v>
      </c>
      <c r="V136">
        <v>3.2156728352753003E-2</v>
      </c>
      <c r="W136">
        <v>176.016914075496</v>
      </c>
      <c r="X136" t="s">
        <v>39</v>
      </c>
      <c r="Y136" t="s">
        <v>40</v>
      </c>
      <c r="Z136">
        <v>1</v>
      </c>
      <c r="AA136">
        <v>192.62803942497601</v>
      </c>
      <c r="AB136">
        <v>17508</v>
      </c>
      <c r="AC136" t="s">
        <v>86</v>
      </c>
      <c r="AD136">
        <v>1</v>
      </c>
      <c r="AE136" t="s">
        <v>42</v>
      </c>
      <c r="AF136" t="s">
        <v>216</v>
      </c>
    </row>
    <row r="137" spans="1:32" x14ac:dyDescent="0.2">
      <c r="A137" t="s">
        <v>212</v>
      </c>
      <c r="B137" t="s">
        <v>33</v>
      </c>
      <c r="C137" t="s">
        <v>34</v>
      </c>
      <c r="D137" t="s">
        <v>213</v>
      </c>
      <c r="E137" t="s">
        <v>36</v>
      </c>
      <c r="G137">
        <v>3.1916438675663003E-2</v>
      </c>
      <c r="H137">
        <v>8.91369853222964E-4</v>
      </c>
      <c r="I137">
        <v>2.79282366770655E-2</v>
      </c>
      <c r="K137">
        <v>12.9523507775972</v>
      </c>
      <c r="L137">
        <v>3.0319004459805798</v>
      </c>
      <c r="M137">
        <v>0.23408109447009801</v>
      </c>
      <c r="O137" s="1">
        <v>45149.756678240738</v>
      </c>
      <c r="P137" s="1">
        <v>45149.756921296299</v>
      </c>
      <c r="U137" t="s">
        <v>38</v>
      </c>
      <c r="AC137" t="s">
        <v>86</v>
      </c>
      <c r="AD137">
        <v>1</v>
      </c>
      <c r="AE137" t="s">
        <v>42</v>
      </c>
    </row>
    <row r="138" spans="1:32" x14ac:dyDescent="0.2">
      <c r="A138" t="s">
        <v>217</v>
      </c>
      <c r="B138" t="s">
        <v>33</v>
      </c>
      <c r="C138" t="s">
        <v>34</v>
      </c>
      <c r="D138" t="s">
        <v>218</v>
      </c>
      <c r="E138" t="s">
        <v>36</v>
      </c>
      <c r="F138">
        <v>0.40873241105125202</v>
      </c>
      <c r="J138">
        <v>1089.5426861589699</v>
      </c>
      <c r="O138" s="1">
        <v>45149.757199074076</v>
      </c>
      <c r="P138" s="1">
        <v>45149.757453703707</v>
      </c>
      <c r="Q138" t="s">
        <v>37</v>
      </c>
      <c r="R138">
        <v>60752</v>
      </c>
      <c r="S138">
        <v>0</v>
      </c>
      <c r="U138" t="s">
        <v>38</v>
      </c>
      <c r="V138">
        <v>0.33550798074486998</v>
      </c>
      <c r="W138">
        <v>176.016914075496</v>
      </c>
      <c r="X138" t="s">
        <v>39</v>
      </c>
      <c r="Y138" t="s">
        <v>40</v>
      </c>
      <c r="Z138">
        <v>1</v>
      </c>
      <c r="AA138">
        <v>83.983128668689204</v>
      </c>
      <c r="AB138">
        <v>15788</v>
      </c>
      <c r="AC138" t="s">
        <v>86</v>
      </c>
      <c r="AD138">
        <v>1</v>
      </c>
      <c r="AE138" t="s">
        <v>42</v>
      </c>
      <c r="AF138" t="s">
        <v>219</v>
      </c>
    </row>
    <row r="139" spans="1:32" x14ac:dyDescent="0.2">
      <c r="A139" t="s">
        <v>217</v>
      </c>
      <c r="B139" t="s">
        <v>33</v>
      </c>
      <c r="C139" t="s">
        <v>34</v>
      </c>
      <c r="D139" t="s">
        <v>218</v>
      </c>
      <c r="E139" t="s">
        <v>36</v>
      </c>
      <c r="F139">
        <v>0.42103828157113399</v>
      </c>
      <c r="J139">
        <v>1123.1185639421401</v>
      </c>
      <c r="O139" s="1">
        <v>45149.757719907408</v>
      </c>
      <c r="P139" s="1">
        <v>45149.757974537039</v>
      </c>
      <c r="Q139" t="s">
        <v>37</v>
      </c>
      <c r="R139">
        <v>60753</v>
      </c>
      <c r="S139">
        <v>0</v>
      </c>
      <c r="U139" t="s">
        <v>38</v>
      </c>
      <c r="V139">
        <v>0.34363502575423099</v>
      </c>
      <c r="W139">
        <v>176.016914075496</v>
      </c>
      <c r="X139" t="s">
        <v>39</v>
      </c>
      <c r="Y139" t="s">
        <v>40</v>
      </c>
      <c r="Z139">
        <v>1</v>
      </c>
      <c r="AA139">
        <v>85.615594137999906</v>
      </c>
      <c r="AB139">
        <v>19026</v>
      </c>
      <c r="AC139" t="s">
        <v>86</v>
      </c>
      <c r="AD139">
        <v>1</v>
      </c>
      <c r="AE139" t="s">
        <v>42</v>
      </c>
      <c r="AF139" t="s">
        <v>220</v>
      </c>
    </row>
    <row r="140" spans="1:32" x14ac:dyDescent="0.2">
      <c r="A140" t="s">
        <v>217</v>
      </c>
      <c r="B140" t="s">
        <v>33</v>
      </c>
      <c r="C140" t="s">
        <v>34</v>
      </c>
      <c r="D140" t="s">
        <v>218</v>
      </c>
      <c r="E140" t="s">
        <v>36</v>
      </c>
      <c r="F140">
        <v>0.53182567137424497</v>
      </c>
      <c r="J140">
        <v>1423.379589872</v>
      </c>
      <c r="O140" s="1">
        <v>45149.758240740739</v>
      </c>
      <c r="P140" s="1">
        <v>45149.758483796293</v>
      </c>
      <c r="Q140" t="s">
        <v>37</v>
      </c>
      <c r="R140">
        <v>60754</v>
      </c>
      <c r="S140">
        <v>0</v>
      </c>
      <c r="U140" t="s">
        <v>38</v>
      </c>
      <c r="V140">
        <v>0.41246864922966697</v>
      </c>
      <c r="W140">
        <v>176.016914075496</v>
      </c>
      <c r="X140" t="s">
        <v>39</v>
      </c>
      <c r="Y140" t="s">
        <v>40</v>
      </c>
      <c r="Z140">
        <v>1</v>
      </c>
      <c r="AA140">
        <v>83.572873431899097</v>
      </c>
      <c r="AB140">
        <v>13955</v>
      </c>
      <c r="AC140" t="s">
        <v>86</v>
      </c>
      <c r="AD140">
        <v>1</v>
      </c>
      <c r="AE140" t="s">
        <v>42</v>
      </c>
      <c r="AF140" t="s">
        <v>221</v>
      </c>
    </row>
    <row r="141" spans="1:32" x14ac:dyDescent="0.2">
      <c r="A141" t="s">
        <v>217</v>
      </c>
      <c r="B141" t="s">
        <v>33</v>
      </c>
      <c r="C141" t="s">
        <v>34</v>
      </c>
      <c r="D141" t="s">
        <v>218</v>
      </c>
      <c r="E141" t="s">
        <v>36</v>
      </c>
      <c r="G141">
        <v>0.45386545466554401</v>
      </c>
      <c r="H141">
        <v>6.7795318085128398E-2</v>
      </c>
      <c r="I141">
        <v>0.149373161998168</v>
      </c>
      <c r="K141">
        <v>1212.01361332437</v>
      </c>
      <c r="L141">
        <v>183.816530605053</v>
      </c>
      <c r="M141">
        <v>0.15166210064330199</v>
      </c>
      <c r="O141" s="1">
        <v>45149.758240740739</v>
      </c>
      <c r="P141" s="1">
        <v>45149.758483796293</v>
      </c>
      <c r="U141" t="s">
        <v>38</v>
      </c>
      <c r="AC141" t="s">
        <v>86</v>
      </c>
      <c r="AD141">
        <v>1</v>
      </c>
      <c r="AE141" t="s">
        <v>42</v>
      </c>
    </row>
    <row r="142" spans="1:32" x14ac:dyDescent="0.2">
      <c r="A142" t="s">
        <v>222</v>
      </c>
      <c r="B142" t="s">
        <v>33</v>
      </c>
      <c r="C142" t="s">
        <v>34</v>
      </c>
      <c r="D142" t="s">
        <v>223</v>
      </c>
      <c r="E142" t="s">
        <v>36</v>
      </c>
      <c r="F142">
        <v>1.05206664188826</v>
      </c>
      <c r="J142">
        <v>2800.52136569804</v>
      </c>
      <c r="O142" s="1">
        <v>45149.758761574078</v>
      </c>
      <c r="P142" s="1">
        <v>45149.759016203701</v>
      </c>
      <c r="Q142" t="s">
        <v>37</v>
      </c>
      <c r="R142">
        <v>60755</v>
      </c>
      <c r="S142">
        <v>0</v>
      </c>
      <c r="U142" t="s">
        <v>38</v>
      </c>
      <c r="V142">
        <v>0.98848384424192204</v>
      </c>
      <c r="W142">
        <v>176.016914075496</v>
      </c>
      <c r="X142" t="s">
        <v>80</v>
      </c>
      <c r="Y142" t="s">
        <v>40</v>
      </c>
      <c r="Z142">
        <v>1</v>
      </c>
      <c r="AA142">
        <v>187.338948214129</v>
      </c>
      <c r="AB142">
        <v>12070</v>
      </c>
      <c r="AC142" t="s">
        <v>86</v>
      </c>
      <c r="AD142">
        <v>1</v>
      </c>
      <c r="AE142" t="s">
        <v>42</v>
      </c>
      <c r="AF142" t="s">
        <v>224</v>
      </c>
    </row>
    <row r="143" spans="1:32" x14ac:dyDescent="0.2">
      <c r="A143" t="s">
        <v>222</v>
      </c>
      <c r="B143" t="s">
        <v>33</v>
      </c>
      <c r="C143" t="s">
        <v>34</v>
      </c>
      <c r="D143" t="s">
        <v>223</v>
      </c>
      <c r="E143" t="s">
        <v>36</v>
      </c>
      <c r="F143">
        <v>1.0078300787029799</v>
      </c>
      <c r="J143">
        <v>2684.9655080566499</v>
      </c>
      <c r="O143" s="1">
        <v>45149.759282407409</v>
      </c>
      <c r="P143" s="1">
        <v>45149.75953703704</v>
      </c>
      <c r="Q143" t="s">
        <v>37</v>
      </c>
      <c r="R143">
        <v>60756</v>
      </c>
      <c r="S143">
        <v>0</v>
      </c>
      <c r="U143" t="s">
        <v>38</v>
      </c>
      <c r="V143">
        <v>0.98767672185680799</v>
      </c>
      <c r="W143">
        <v>176.016914075496</v>
      </c>
      <c r="X143" t="s">
        <v>80</v>
      </c>
      <c r="Y143" t="s">
        <v>40</v>
      </c>
      <c r="Z143">
        <v>1</v>
      </c>
      <c r="AA143">
        <v>179.60850594136099</v>
      </c>
      <c r="AB143">
        <v>13227</v>
      </c>
      <c r="AC143" t="s">
        <v>86</v>
      </c>
      <c r="AD143">
        <v>1</v>
      </c>
      <c r="AE143" t="s">
        <v>42</v>
      </c>
      <c r="AF143" t="s">
        <v>225</v>
      </c>
    </row>
    <row r="144" spans="1:32" x14ac:dyDescent="0.2">
      <c r="A144" t="s">
        <v>222</v>
      </c>
      <c r="B144" t="s">
        <v>33</v>
      </c>
      <c r="C144" t="s">
        <v>34</v>
      </c>
      <c r="D144" t="s">
        <v>223</v>
      </c>
      <c r="E144" t="s">
        <v>36</v>
      </c>
      <c r="F144">
        <v>0.92922492488808095</v>
      </c>
      <c r="J144">
        <v>2479.0416334991601</v>
      </c>
      <c r="O144" s="1">
        <v>45149.75980324074</v>
      </c>
      <c r="P144" s="1">
        <v>45149.760057870371</v>
      </c>
      <c r="Q144" t="s">
        <v>37</v>
      </c>
      <c r="R144">
        <v>60757</v>
      </c>
      <c r="S144">
        <v>0</v>
      </c>
      <c r="U144" t="s">
        <v>38</v>
      </c>
      <c r="V144">
        <v>0.98081534772182299</v>
      </c>
      <c r="W144">
        <v>176.016914075496</v>
      </c>
      <c r="X144" t="s">
        <v>80</v>
      </c>
      <c r="Y144" t="s">
        <v>40</v>
      </c>
      <c r="Z144">
        <v>1</v>
      </c>
      <c r="AA144">
        <v>166.75850774637601</v>
      </c>
      <c r="AB144">
        <v>12093</v>
      </c>
      <c r="AC144" t="s">
        <v>86</v>
      </c>
      <c r="AD144">
        <v>1</v>
      </c>
      <c r="AE144" t="s">
        <v>42</v>
      </c>
      <c r="AF144" t="s">
        <v>226</v>
      </c>
    </row>
    <row r="145" spans="1:32" x14ac:dyDescent="0.2">
      <c r="A145" t="s">
        <v>222</v>
      </c>
      <c r="B145" t="s">
        <v>33</v>
      </c>
      <c r="C145" t="s">
        <v>34</v>
      </c>
      <c r="D145" t="s">
        <v>223</v>
      </c>
      <c r="E145" t="s">
        <v>36</v>
      </c>
      <c r="G145">
        <v>0.99637388182643805</v>
      </c>
      <c r="H145">
        <v>6.2217000844169E-2</v>
      </c>
      <c r="I145">
        <v>6.24434280935987E-2</v>
      </c>
      <c r="K145">
        <v>2654.8428357512798</v>
      </c>
      <c r="L145">
        <v>162.84297987257199</v>
      </c>
      <c r="M145">
        <v>6.13380866391246E-2</v>
      </c>
      <c r="O145" s="1">
        <v>45149.75980324074</v>
      </c>
      <c r="P145" s="1">
        <v>45149.760057870371</v>
      </c>
      <c r="U145" t="s">
        <v>38</v>
      </c>
      <c r="AC145" t="s">
        <v>86</v>
      </c>
      <c r="AD145">
        <v>1</v>
      </c>
      <c r="AE145" t="s">
        <v>42</v>
      </c>
    </row>
    <row r="146" spans="1:32" x14ac:dyDescent="0.2">
      <c r="A146" t="s">
        <v>227</v>
      </c>
      <c r="B146" t="s">
        <v>33</v>
      </c>
      <c r="C146" t="s">
        <v>34</v>
      </c>
      <c r="D146" t="s">
        <v>228</v>
      </c>
      <c r="E146" t="s">
        <v>36</v>
      </c>
      <c r="F146">
        <v>0.15285789038560699</v>
      </c>
      <c r="J146">
        <v>375.863975935322</v>
      </c>
      <c r="O146" s="1">
        <v>45149.760324074072</v>
      </c>
      <c r="P146" s="1">
        <v>45149.760578703703</v>
      </c>
      <c r="Q146" t="s">
        <v>37</v>
      </c>
      <c r="R146">
        <v>60758</v>
      </c>
      <c r="S146">
        <v>0</v>
      </c>
      <c r="U146" t="s">
        <v>38</v>
      </c>
      <c r="V146">
        <v>0.14174832103930399</v>
      </c>
      <c r="W146">
        <v>176.016914075496</v>
      </c>
      <c r="X146" t="s">
        <v>39</v>
      </c>
      <c r="Y146" t="s">
        <v>40</v>
      </c>
      <c r="Z146">
        <v>1</v>
      </c>
      <c r="AA146">
        <v>102.53198810320799</v>
      </c>
      <c r="AB146">
        <v>18166</v>
      </c>
      <c r="AC146" t="s">
        <v>86</v>
      </c>
      <c r="AD146">
        <v>1</v>
      </c>
      <c r="AE146" t="s">
        <v>42</v>
      </c>
      <c r="AF146" t="s">
        <v>229</v>
      </c>
    </row>
    <row r="147" spans="1:32" x14ac:dyDescent="0.2">
      <c r="A147" t="s">
        <v>227</v>
      </c>
      <c r="B147" t="s">
        <v>33</v>
      </c>
      <c r="C147" t="s">
        <v>34</v>
      </c>
      <c r="D147" t="s">
        <v>228</v>
      </c>
      <c r="E147" t="s">
        <v>36</v>
      </c>
      <c r="F147">
        <v>0.13444984489026901</v>
      </c>
      <c r="J147">
        <v>322.73229460142397</v>
      </c>
      <c r="O147" s="1">
        <v>45149.760844907411</v>
      </c>
      <c r="P147" s="1">
        <v>45149.761099537034</v>
      </c>
      <c r="Q147" t="s">
        <v>37</v>
      </c>
      <c r="R147">
        <v>60759</v>
      </c>
      <c r="S147">
        <v>0</v>
      </c>
      <c r="U147" t="s">
        <v>38</v>
      </c>
      <c r="V147">
        <v>0.12580327679036599</v>
      </c>
      <c r="W147">
        <v>176.016914075496</v>
      </c>
      <c r="X147" t="s">
        <v>39</v>
      </c>
      <c r="Y147" t="s">
        <v>40</v>
      </c>
      <c r="Z147">
        <v>1</v>
      </c>
      <c r="AA147">
        <v>106.497794606441</v>
      </c>
      <c r="AB147">
        <v>17273</v>
      </c>
      <c r="AC147" t="s">
        <v>86</v>
      </c>
      <c r="AD147">
        <v>1</v>
      </c>
      <c r="AE147" t="s">
        <v>42</v>
      </c>
      <c r="AF147" t="s">
        <v>230</v>
      </c>
    </row>
    <row r="148" spans="1:32" x14ac:dyDescent="0.2">
      <c r="A148" t="s">
        <v>227</v>
      </c>
      <c r="B148" t="s">
        <v>33</v>
      </c>
      <c r="C148" t="s">
        <v>34</v>
      </c>
      <c r="D148" t="s">
        <v>228</v>
      </c>
      <c r="E148" t="s">
        <v>36</v>
      </c>
      <c r="F148">
        <v>0.145777977848636</v>
      </c>
      <c r="J148">
        <v>355.475591673287</v>
      </c>
      <c r="O148" s="1">
        <v>45149.761365740742</v>
      </c>
      <c r="P148" s="1">
        <v>45149.761620370373</v>
      </c>
      <c r="Q148" t="s">
        <v>37</v>
      </c>
      <c r="R148">
        <v>60760</v>
      </c>
      <c r="S148">
        <v>0</v>
      </c>
      <c r="U148" t="s">
        <v>38</v>
      </c>
      <c r="V148">
        <v>0.13565041336257799</v>
      </c>
      <c r="W148">
        <v>176.016914075496</v>
      </c>
      <c r="X148" t="s">
        <v>39</v>
      </c>
      <c r="Y148" t="s">
        <v>40</v>
      </c>
      <c r="Z148">
        <v>1</v>
      </c>
      <c r="AA148">
        <v>109.87722512606901</v>
      </c>
      <c r="AB148">
        <v>17781</v>
      </c>
      <c r="AC148" t="s">
        <v>86</v>
      </c>
      <c r="AD148">
        <v>1</v>
      </c>
      <c r="AE148" t="s">
        <v>42</v>
      </c>
      <c r="AF148" t="s">
        <v>231</v>
      </c>
    </row>
    <row r="149" spans="1:32" x14ac:dyDescent="0.2">
      <c r="A149" t="s">
        <v>227</v>
      </c>
      <c r="B149" t="s">
        <v>33</v>
      </c>
      <c r="C149" t="s">
        <v>34</v>
      </c>
      <c r="D149" t="s">
        <v>228</v>
      </c>
      <c r="E149" t="s">
        <v>36</v>
      </c>
      <c r="G149">
        <v>0.14436190437483701</v>
      </c>
      <c r="H149">
        <v>9.2853639025086507E-3</v>
      </c>
      <c r="I149">
        <v>6.4320043038495103E-2</v>
      </c>
      <c r="K149">
        <v>351.357287403344</v>
      </c>
      <c r="L149">
        <v>26.804182749835601</v>
      </c>
      <c r="M149">
        <v>7.6287538954800393E-2</v>
      </c>
      <c r="O149" s="1">
        <v>45149.761365740742</v>
      </c>
      <c r="P149" s="1">
        <v>45149.761620370373</v>
      </c>
      <c r="U149" t="s">
        <v>38</v>
      </c>
      <c r="AC149" t="s">
        <v>86</v>
      </c>
      <c r="AD149">
        <v>1</v>
      </c>
      <c r="AE149" t="s">
        <v>42</v>
      </c>
    </row>
    <row r="150" spans="1:32" x14ac:dyDescent="0.2">
      <c r="A150" t="s">
        <v>232</v>
      </c>
      <c r="B150" t="s">
        <v>33</v>
      </c>
      <c r="C150" t="s">
        <v>34</v>
      </c>
      <c r="D150" t="s">
        <v>233</v>
      </c>
      <c r="E150" t="s">
        <v>36</v>
      </c>
      <c r="F150">
        <v>2.96705333916845E-2</v>
      </c>
      <c r="J150">
        <v>5.1974538362713103</v>
      </c>
      <c r="O150" s="1">
        <v>45149.761886574073</v>
      </c>
      <c r="P150" s="1">
        <v>45149.762141203704</v>
      </c>
      <c r="Q150" t="s">
        <v>37</v>
      </c>
      <c r="R150">
        <v>60761</v>
      </c>
      <c r="S150">
        <v>0</v>
      </c>
      <c r="U150" t="s">
        <v>38</v>
      </c>
      <c r="V150">
        <v>2.9234684377133599E-2</v>
      </c>
      <c r="W150">
        <v>176.016914075496</v>
      </c>
      <c r="X150" t="s">
        <v>39</v>
      </c>
      <c r="Y150" t="s">
        <v>40</v>
      </c>
      <c r="Z150">
        <v>1</v>
      </c>
      <c r="AA150">
        <v>191.12848770472601</v>
      </c>
      <c r="AB150">
        <v>16111</v>
      </c>
      <c r="AC150" t="s">
        <v>86</v>
      </c>
      <c r="AD150">
        <v>1</v>
      </c>
      <c r="AE150" t="s">
        <v>42</v>
      </c>
      <c r="AF150" t="s">
        <v>234</v>
      </c>
    </row>
    <row r="151" spans="1:32" x14ac:dyDescent="0.2">
      <c r="A151" t="s">
        <v>232</v>
      </c>
      <c r="B151" t="s">
        <v>33</v>
      </c>
      <c r="C151" t="s">
        <v>34</v>
      </c>
      <c r="D151" t="s">
        <v>233</v>
      </c>
      <c r="E151" t="s">
        <v>36</v>
      </c>
      <c r="F151">
        <v>3.4683209277156103E-2</v>
      </c>
      <c r="J151">
        <v>22.217585080087101</v>
      </c>
      <c r="O151" s="1">
        <v>45149.762407407405</v>
      </c>
      <c r="P151" s="1">
        <v>45149.762662037036</v>
      </c>
      <c r="Q151" t="s">
        <v>37</v>
      </c>
      <c r="R151">
        <v>60762</v>
      </c>
      <c r="S151">
        <v>0</v>
      </c>
      <c r="U151" t="s">
        <v>38</v>
      </c>
      <c r="V151">
        <v>3.4088640447195E-2</v>
      </c>
      <c r="W151">
        <v>176.016914075496</v>
      </c>
      <c r="X151" t="s">
        <v>39</v>
      </c>
      <c r="Y151" t="s">
        <v>40</v>
      </c>
      <c r="Z151">
        <v>1</v>
      </c>
      <c r="AA151">
        <v>195.203098475031</v>
      </c>
      <c r="AB151">
        <v>20036</v>
      </c>
      <c r="AC151" t="s">
        <v>86</v>
      </c>
      <c r="AD151">
        <v>1</v>
      </c>
      <c r="AE151" t="s">
        <v>42</v>
      </c>
      <c r="AF151" t="s">
        <v>235</v>
      </c>
    </row>
    <row r="152" spans="1:32" x14ac:dyDescent="0.2">
      <c r="A152" t="s">
        <v>232</v>
      </c>
      <c r="B152" t="s">
        <v>33</v>
      </c>
      <c r="C152" t="s">
        <v>34</v>
      </c>
      <c r="D152" t="s">
        <v>233</v>
      </c>
      <c r="E152" t="s">
        <v>36</v>
      </c>
      <c r="F152">
        <v>3.4958461446395001E-2</v>
      </c>
      <c r="J152">
        <v>23.1262269005781</v>
      </c>
      <c r="O152" s="1">
        <v>45149.762928240743</v>
      </c>
      <c r="P152" s="1">
        <v>45149.763182870367</v>
      </c>
      <c r="Q152" t="s">
        <v>37</v>
      </c>
      <c r="R152">
        <v>60763</v>
      </c>
      <c r="S152">
        <v>0</v>
      </c>
      <c r="U152" t="s">
        <v>38</v>
      </c>
      <c r="V152">
        <v>3.4354473057024902E-2</v>
      </c>
      <c r="W152">
        <v>176.016914075496</v>
      </c>
      <c r="X152" t="s">
        <v>39</v>
      </c>
      <c r="Y152" t="s">
        <v>40</v>
      </c>
      <c r="Z152">
        <v>1</v>
      </c>
      <c r="AA152">
        <v>196.62587279737801</v>
      </c>
      <c r="AB152">
        <v>17203</v>
      </c>
      <c r="AC152" t="s">
        <v>86</v>
      </c>
      <c r="AD152">
        <v>1</v>
      </c>
      <c r="AE152" t="s">
        <v>42</v>
      </c>
      <c r="AF152" t="s">
        <v>236</v>
      </c>
    </row>
    <row r="153" spans="1:32" x14ac:dyDescent="0.2">
      <c r="A153" t="s">
        <v>232</v>
      </c>
      <c r="B153" t="s">
        <v>33</v>
      </c>
      <c r="C153" t="s">
        <v>34</v>
      </c>
      <c r="D153" t="s">
        <v>233</v>
      </c>
      <c r="E153" t="s">
        <v>36</v>
      </c>
      <c r="G153">
        <v>3.3104068038411899E-2</v>
      </c>
      <c r="H153">
        <v>2.9767114517325198E-3</v>
      </c>
      <c r="I153">
        <v>8.9919808293002904E-2</v>
      </c>
      <c r="K153">
        <v>16.847088605645499</v>
      </c>
      <c r="L153">
        <v>10.0991039297725</v>
      </c>
      <c r="M153">
        <v>0.59945692494240299</v>
      </c>
      <c r="O153" s="1">
        <v>45149.762928240743</v>
      </c>
      <c r="P153" s="1">
        <v>45149.763182870367</v>
      </c>
      <c r="U153" t="s">
        <v>38</v>
      </c>
      <c r="AC153" t="s">
        <v>86</v>
      </c>
      <c r="AD153">
        <v>1</v>
      </c>
      <c r="AE153" t="s">
        <v>42</v>
      </c>
    </row>
    <row r="154" spans="1:32" x14ac:dyDescent="0.2">
      <c r="A154" t="s">
        <v>237</v>
      </c>
      <c r="B154" t="s">
        <v>33</v>
      </c>
      <c r="C154" t="s">
        <v>34</v>
      </c>
      <c r="D154" t="s">
        <v>238</v>
      </c>
      <c r="E154" t="s">
        <v>36</v>
      </c>
      <c r="F154">
        <v>3.4847506095443397E-2</v>
      </c>
      <c r="J154">
        <v>22.7601645661776</v>
      </c>
      <c r="O154" s="1">
        <v>45149.763449074075</v>
      </c>
      <c r="P154" s="1">
        <v>45149.763692129629</v>
      </c>
      <c r="Q154" t="s">
        <v>37</v>
      </c>
      <c r="R154">
        <v>60764</v>
      </c>
      <c r="S154">
        <v>0</v>
      </c>
      <c r="U154" t="s">
        <v>38</v>
      </c>
      <c r="V154">
        <v>3.4247323574393702E-2</v>
      </c>
      <c r="W154">
        <v>176.016914075496</v>
      </c>
      <c r="X154" t="s">
        <v>39</v>
      </c>
      <c r="Y154" t="s">
        <v>40</v>
      </c>
      <c r="Z154">
        <v>1</v>
      </c>
      <c r="AA154">
        <v>207.740807831154</v>
      </c>
      <c r="AB154">
        <v>18308</v>
      </c>
      <c r="AC154" t="s">
        <v>86</v>
      </c>
      <c r="AD154">
        <v>1</v>
      </c>
      <c r="AE154" t="s">
        <v>42</v>
      </c>
      <c r="AF154" t="s">
        <v>239</v>
      </c>
    </row>
    <row r="155" spans="1:32" x14ac:dyDescent="0.2">
      <c r="A155" t="s">
        <v>237</v>
      </c>
      <c r="B155" t="s">
        <v>33</v>
      </c>
      <c r="C155" t="s">
        <v>34</v>
      </c>
      <c r="D155" t="s">
        <v>238</v>
      </c>
      <c r="E155" t="s">
        <v>36</v>
      </c>
      <c r="F155">
        <v>3.5526503552710899E-2</v>
      </c>
      <c r="J155">
        <v>24.995945300428399</v>
      </c>
      <c r="O155" s="1">
        <v>45149.763969907406</v>
      </c>
      <c r="P155" s="1">
        <v>45149.76421296296</v>
      </c>
      <c r="Q155" t="s">
        <v>37</v>
      </c>
      <c r="R155">
        <v>60765</v>
      </c>
      <c r="S155">
        <v>0</v>
      </c>
      <c r="U155" t="s">
        <v>38</v>
      </c>
      <c r="V155">
        <v>3.4902844612292101E-2</v>
      </c>
      <c r="W155">
        <v>176.016914075496</v>
      </c>
      <c r="X155" t="s">
        <v>39</v>
      </c>
      <c r="Y155" t="s">
        <v>40</v>
      </c>
      <c r="Z155">
        <v>1</v>
      </c>
      <c r="AA155">
        <v>223.835546995719</v>
      </c>
      <c r="AB155">
        <v>16417</v>
      </c>
      <c r="AC155" t="s">
        <v>86</v>
      </c>
      <c r="AD155">
        <v>1</v>
      </c>
      <c r="AE155" t="s">
        <v>42</v>
      </c>
      <c r="AF155" t="s">
        <v>240</v>
      </c>
    </row>
    <row r="156" spans="1:32" x14ac:dyDescent="0.2">
      <c r="A156" t="s">
        <v>237</v>
      </c>
      <c r="B156" t="s">
        <v>33</v>
      </c>
      <c r="C156" t="s">
        <v>34</v>
      </c>
      <c r="D156" t="s">
        <v>238</v>
      </c>
      <c r="E156" t="s">
        <v>36</v>
      </c>
      <c r="F156" t="s">
        <v>46</v>
      </c>
      <c r="O156" s="1">
        <v>45149.764490740738</v>
      </c>
      <c r="P156" s="1">
        <v>45149.748101851852</v>
      </c>
      <c r="Q156" t="s">
        <v>241</v>
      </c>
      <c r="R156">
        <v>60766</v>
      </c>
      <c r="S156">
        <v>2</v>
      </c>
      <c r="T156" t="s">
        <v>242</v>
      </c>
      <c r="U156" t="s">
        <v>38</v>
      </c>
      <c r="V156" t="s">
        <v>46</v>
      </c>
      <c r="W156" t="s">
        <v>46</v>
      </c>
      <c r="Z156" t="s">
        <v>46</v>
      </c>
      <c r="AA156" t="s">
        <v>46</v>
      </c>
      <c r="AC156" t="s">
        <v>86</v>
      </c>
      <c r="AD156">
        <v>1</v>
      </c>
      <c r="AE156" t="s">
        <v>42</v>
      </c>
    </row>
    <row r="157" spans="1:32" x14ac:dyDescent="0.2">
      <c r="A157" t="s">
        <v>237</v>
      </c>
      <c r="B157" t="s">
        <v>33</v>
      </c>
      <c r="C157" t="s">
        <v>34</v>
      </c>
      <c r="D157" t="s">
        <v>238</v>
      </c>
      <c r="E157" t="s">
        <v>36</v>
      </c>
      <c r="G157" t="s">
        <v>46</v>
      </c>
      <c r="H157" t="s">
        <v>46</v>
      </c>
      <c r="I157" t="s">
        <v>46</v>
      </c>
      <c r="K157">
        <v>23.878054933303002</v>
      </c>
      <c r="L157">
        <v>1.58093571843494</v>
      </c>
      <c r="M157" t="s">
        <v>46</v>
      </c>
      <c r="O157" s="1">
        <v>45149.764490740738</v>
      </c>
      <c r="P157" s="1">
        <v>45149.76421296296</v>
      </c>
      <c r="U157" t="s">
        <v>38</v>
      </c>
      <c r="AC157" t="s">
        <v>86</v>
      </c>
      <c r="AD157">
        <v>1</v>
      </c>
      <c r="AE157" t="s">
        <v>42</v>
      </c>
    </row>
    <row r="158" spans="1:32" x14ac:dyDescent="0.2">
      <c r="A158" t="s">
        <v>243</v>
      </c>
      <c r="B158" t="s">
        <v>33</v>
      </c>
      <c r="C158" t="s">
        <v>34</v>
      </c>
      <c r="D158" t="s">
        <v>244</v>
      </c>
      <c r="E158" t="s">
        <v>36</v>
      </c>
      <c r="F158" t="s">
        <v>46</v>
      </c>
      <c r="O158" s="1">
        <v>45149.765011574076</v>
      </c>
      <c r="P158" s="1">
        <v>45149.748622685183</v>
      </c>
      <c r="Q158" t="s">
        <v>241</v>
      </c>
      <c r="R158">
        <v>60767</v>
      </c>
      <c r="S158">
        <v>2</v>
      </c>
      <c r="T158" t="s">
        <v>245</v>
      </c>
      <c r="U158" t="s">
        <v>38</v>
      </c>
      <c r="V158" t="s">
        <v>46</v>
      </c>
      <c r="W158" t="s">
        <v>46</v>
      </c>
      <c r="Z158" t="s">
        <v>46</v>
      </c>
      <c r="AA158" t="s">
        <v>46</v>
      </c>
      <c r="AC158" t="s">
        <v>86</v>
      </c>
      <c r="AD158">
        <v>1</v>
      </c>
      <c r="AE158" t="s">
        <v>42</v>
      </c>
    </row>
    <row r="159" spans="1:32" x14ac:dyDescent="0.2">
      <c r="A159" t="s">
        <v>243</v>
      </c>
      <c r="B159" t="s">
        <v>33</v>
      </c>
      <c r="C159" t="s">
        <v>34</v>
      </c>
      <c r="D159" t="s">
        <v>244</v>
      </c>
      <c r="E159" t="s">
        <v>36</v>
      </c>
      <c r="F159" t="s">
        <v>46</v>
      </c>
      <c r="O159" s="1">
        <v>45149.765532407408</v>
      </c>
      <c r="P159" s="1">
        <v>45149.749143518522</v>
      </c>
      <c r="Q159" t="s">
        <v>241</v>
      </c>
      <c r="R159">
        <v>60768</v>
      </c>
      <c r="S159">
        <v>2</v>
      </c>
      <c r="T159" t="s">
        <v>245</v>
      </c>
      <c r="U159" t="s">
        <v>38</v>
      </c>
      <c r="V159" t="s">
        <v>46</v>
      </c>
      <c r="W159" t="s">
        <v>46</v>
      </c>
      <c r="Z159" t="s">
        <v>46</v>
      </c>
      <c r="AA159" t="s">
        <v>46</v>
      </c>
      <c r="AC159" t="s">
        <v>86</v>
      </c>
      <c r="AD159">
        <v>1</v>
      </c>
      <c r="AE159" t="s">
        <v>42</v>
      </c>
    </row>
    <row r="160" spans="1:32" x14ac:dyDescent="0.2">
      <c r="A160" t="s">
        <v>243</v>
      </c>
      <c r="B160" t="s">
        <v>33</v>
      </c>
      <c r="C160" t="s">
        <v>34</v>
      </c>
      <c r="D160" t="s">
        <v>244</v>
      </c>
      <c r="E160" t="s">
        <v>36</v>
      </c>
      <c r="F160" t="s">
        <v>46</v>
      </c>
      <c r="O160" s="1">
        <v>45149.766053240739</v>
      </c>
      <c r="P160" s="1">
        <v>45149.749664351853</v>
      </c>
      <c r="Q160" t="s">
        <v>241</v>
      </c>
      <c r="R160">
        <v>60769</v>
      </c>
      <c r="S160">
        <v>2</v>
      </c>
      <c r="T160" t="s">
        <v>245</v>
      </c>
      <c r="U160" t="s">
        <v>38</v>
      </c>
      <c r="V160" t="s">
        <v>46</v>
      </c>
      <c r="W160" t="s">
        <v>46</v>
      </c>
      <c r="Z160" t="s">
        <v>46</v>
      </c>
      <c r="AA160" t="s">
        <v>46</v>
      </c>
      <c r="AC160" t="s">
        <v>86</v>
      </c>
      <c r="AD160">
        <v>1</v>
      </c>
      <c r="AE160" t="s">
        <v>42</v>
      </c>
    </row>
    <row r="161" spans="1:32" x14ac:dyDescent="0.2">
      <c r="A161" t="s">
        <v>243</v>
      </c>
      <c r="B161" t="s">
        <v>33</v>
      </c>
      <c r="C161" t="s">
        <v>34</v>
      </c>
      <c r="D161" t="s">
        <v>244</v>
      </c>
      <c r="E161" t="s">
        <v>36</v>
      </c>
      <c r="G161" t="s">
        <v>46</v>
      </c>
      <c r="H161" t="s">
        <v>46</v>
      </c>
      <c r="I161" t="s">
        <v>46</v>
      </c>
      <c r="K161" t="s">
        <v>46</v>
      </c>
      <c r="L161" t="s">
        <v>46</v>
      </c>
      <c r="M161" t="s">
        <v>46</v>
      </c>
      <c r="O161" s="1">
        <v>45149.766053240739</v>
      </c>
      <c r="P161" s="1">
        <v>45149.749664351853</v>
      </c>
      <c r="U161" t="s">
        <v>38</v>
      </c>
      <c r="AC161" t="s">
        <v>86</v>
      </c>
      <c r="AD161">
        <v>1</v>
      </c>
      <c r="AE161" t="s">
        <v>42</v>
      </c>
    </row>
    <row r="162" spans="1:32" x14ac:dyDescent="0.2">
      <c r="A162" t="s">
        <v>246</v>
      </c>
      <c r="B162" t="s">
        <v>33</v>
      </c>
      <c r="C162" t="s">
        <v>34</v>
      </c>
      <c r="D162" t="s">
        <v>247</v>
      </c>
      <c r="E162" t="s">
        <v>248</v>
      </c>
      <c r="F162" t="s">
        <v>46</v>
      </c>
      <c r="O162" s="1">
        <v>45149.769178240742</v>
      </c>
      <c r="P162" s="1">
        <v>45149.752789351849</v>
      </c>
      <c r="Q162" t="s">
        <v>241</v>
      </c>
      <c r="R162">
        <v>60770</v>
      </c>
      <c r="S162">
        <v>2</v>
      </c>
      <c r="T162" t="s">
        <v>245</v>
      </c>
      <c r="U162" t="s">
        <v>38</v>
      </c>
      <c r="V162" t="s">
        <v>46</v>
      </c>
      <c r="W162" t="s">
        <v>46</v>
      </c>
      <c r="Z162" t="s">
        <v>46</v>
      </c>
      <c r="AA162" t="s">
        <v>46</v>
      </c>
      <c r="AC162" t="s">
        <v>86</v>
      </c>
      <c r="AD162">
        <v>1</v>
      </c>
      <c r="AE162" t="s">
        <v>42</v>
      </c>
    </row>
    <row r="163" spans="1:32" x14ac:dyDescent="0.2">
      <c r="A163" t="s">
        <v>246</v>
      </c>
      <c r="B163" t="s">
        <v>33</v>
      </c>
      <c r="C163" t="s">
        <v>34</v>
      </c>
      <c r="D163" t="s">
        <v>247</v>
      </c>
      <c r="E163" t="s">
        <v>248</v>
      </c>
      <c r="F163" t="s">
        <v>46</v>
      </c>
      <c r="O163" s="1">
        <v>45149.769699074073</v>
      </c>
      <c r="P163" s="1">
        <v>45149.753310185188</v>
      </c>
      <c r="Q163" t="s">
        <v>241</v>
      </c>
      <c r="R163">
        <v>60771</v>
      </c>
      <c r="S163">
        <v>2</v>
      </c>
      <c r="T163" t="s">
        <v>245</v>
      </c>
      <c r="U163" t="s">
        <v>38</v>
      </c>
      <c r="V163" t="s">
        <v>46</v>
      </c>
      <c r="W163" t="s">
        <v>46</v>
      </c>
      <c r="Z163" t="s">
        <v>46</v>
      </c>
      <c r="AA163" t="s">
        <v>46</v>
      </c>
      <c r="AC163" t="s">
        <v>86</v>
      </c>
      <c r="AD163">
        <v>1</v>
      </c>
      <c r="AE163" t="s">
        <v>42</v>
      </c>
    </row>
    <row r="164" spans="1:32" x14ac:dyDescent="0.2">
      <c r="A164" t="s">
        <v>246</v>
      </c>
      <c r="B164" t="s">
        <v>33</v>
      </c>
      <c r="C164" t="s">
        <v>34</v>
      </c>
      <c r="D164" t="s">
        <v>247</v>
      </c>
      <c r="E164" t="s">
        <v>248</v>
      </c>
      <c r="F164" t="s">
        <v>46</v>
      </c>
      <c r="O164" s="1">
        <v>45149.770219907405</v>
      </c>
      <c r="P164" s="1">
        <v>45149.753819444442</v>
      </c>
      <c r="Q164" t="s">
        <v>241</v>
      </c>
      <c r="R164">
        <v>60772</v>
      </c>
      <c r="S164">
        <v>2</v>
      </c>
      <c r="T164" t="s">
        <v>245</v>
      </c>
      <c r="U164" t="s">
        <v>38</v>
      </c>
      <c r="V164" t="s">
        <v>46</v>
      </c>
      <c r="W164" t="s">
        <v>46</v>
      </c>
      <c r="Z164" t="s">
        <v>46</v>
      </c>
      <c r="AA164" t="s">
        <v>46</v>
      </c>
      <c r="AC164" t="s">
        <v>86</v>
      </c>
      <c r="AD164">
        <v>1</v>
      </c>
      <c r="AE164" t="s">
        <v>42</v>
      </c>
    </row>
    <row r="165" spans="1:32" x14ac:dyDescent="0.2">
      <c r="A165" t="s">
        <v>246</v>
      </c>
      <c r="B165" t="s">
        <v>33</v>
      </c>
      <c r="C165" t="s">
        <v>34</v>
      </c>
      <c r="D165" t="s">
        <v>247</v>
      </c>
      <c r="E165" t="s">
        <v>248</v>
      </c>
      <c r="G165" t="s">
        <v>46</v>
      </c>
      <c r="H165" t="s">
        <v>46</v>
      </c>
      <c r="I165" t="s">
        <v>46</v>
      </c>
      <c r="K165" t="s">
        <v>46</v>
      </c>
      <c r="L165" t="s">
        <v>46</v>
      </c>
      <c r="M165" t="s">
        <v>46</v>
      </c>
      <c r="O165" s="1">
        <v>45149.770219907405</v>
      </c>
      <c r="P165" s="1">
        <v>45149.753819444442</v>
      </c>
      <c r="U165" t="s">
        <v>38</v>
      </c>
      <c r="AC165" t="s">
        <v>86</v>
      </c>
      <c r="AD165">
        <v>1</v>
      </c>
      <c r="AE165" t="s">
        <v>42</v>
      </c>
    </row>
    <row r="166" spans="1:32" x14ac:dyDescent="0.2">
      <c r="A166" t="s">
        <v>249</v>
      </c>
      <c r="B166" t="s">
        <v>33</v>
      </c>
      <c r="C166" t="s">
        <v>34</v>
      </c>
      <c r="D166" t="s">
        <v>250</v>
      </c>
      <c r="E166" t="s">
        <v>248</v>
      </c>
      <c r="F166" t="s">
        <v>46</v>
      </c>
      <c r="O166" s="1">
        <v>45149.770740740743</v>
      </c>
      <c r="P166" s="1">
        <v>45149.754351851851</v>
      </c>
      <c r="Q166" t="s">
        <v>241</v>
      </c>
      <c r="R166">
        <v>60773</v>
      </c>
      <c r="S166">
        <v>2</v>
      </c>
      <c r="T166" t="s">
        <v>245</v>
      </c>
      <c r="U166" t="s">
        <v>38</v>
      </c>
      <c r="V166" t="s">
        <v>46</v>
      </c>
      <c r="W166" t="s">
        <v>46</v>
      </c>
      <c r="Z166" t="s">
        <v>46</v>
      </c>
      <c r="AA166" t="s">
        <v>46</v>
      </c>
      <c r="AC166" t="s">
        <v>86</v>
      </c>
      <c r="AD166">
        <v>1</v>
      </c>
      <c r="AE166" t="s">
        <v>42</v>
      </c>
    </row>
    <row r="167" spans="1:32" x14ac:dyDescent="0.2">
      <c r="A167" t="s">
        <v>249</v>
      </c>
      <c r="B167" t="s">
        <v>33</v>
      </c>
      <c r="C167" t="s">
        <v>34</v>
      </c>
      <c r="D167" t="s">
        <v>250</v>
      </c>
      <c r="E167" t="s">
        <v>248</v>
      </c>
      <c r="F167" t="s">
        <v>46</v>
      </c>
      <c r="O167" s="1">
        <v>45149.771261574075</v>
      </c>
      <c r="P167" s="1">
        <v>45149.754872685182</v>
      </c>
      <c r="Q167" t="s">
        <v>241</v>
      </c>
      <c r="R167">
        <v>60774</v>
      </c>
      <c r="S167">
        <v>2</v>
      </c>
      <c r="T167" t="s">
        <v>245</v>
      </c>
      <c r="U167" t="s">
        <v>38</v>
      </c>
      <c r="V167" t="s">
        <v>46</v>
      </c>
      <c r="W167" t="s">
        <v>46</v>
      </c>
      <c r="Z167" t="s">
        <v>46</v>
      </c>
      <c r="AA167" t="s">
        <v>46</v>
      </c>
      <c r="AC167" t="s">
        <v>86</v>
      </c>
      <c r="AD167">
        <v>1</v>
      </c>
      <c r="AE167" t="s">
        <v>42</v>
      </c>
    </row>
    <row r="168" spans="1:32" x14ac:dyDescent="0.2">
      <c r="A168" t="s">
        <v>249</v>
      </c>
      <c r="B168" t="s">
        <v>33</v>
      </c>
      <c r="C168" t="s">
        <v>34</v>
      </c>
      <c r="D168" t="s">
        <v>250</v>
      </c>
      <c r="E168" t="s">
        <v>248</v>
      </c>
      <c r="F168" t="s">
        <v>46</v>
      </c>
      <c r="O168" s="1">
        <v>45149.771782407406</v>
      </c>
      <c r="P168" s="1">
        <v>45149.755393518521</v>
      </c>
      <c r="Q168" t="s">
        <v>241</v>
      </c>
      <c r="R168">
        <v>60775</v>
      </c>
      <c r="S168">
        <v>2</v>
      </c>
      <c r="T168" t="s">
        <v>245</v>
      </c>
      <c r="U168" t="s">
        <v>38</v>
      </c>
      <c r="V168" t="s">
        <v>46</v>
      </c>
      <c r="W168" t="s">
        <v>46</v>
      </c>
      <c r="Z168" t="s">
        <v>46</v>
      </c>
      <c r="AA168" t="s">
        <v>46</v>
      </c>
      <c r="AC168" t="s">
        <v>86</v>
      </c>
      <c r="AD168">
        <v>1</v>
      </c>
      <c r="AE168" t="s">
        <v>42</v>
      </c>
    </row>
    <row r="169" spans="1:32" x14ac:dyDescent="0.2">
      <c r="A169" t="s">
        <v>249</v>
      </c>
      <c r="B169" t="s">
        <v>33</v>
      </c>
      <c r="C169" t="s">
        <v>34</v>
      </c>
      <c r="D169" t="s">
        <v>250</v>
      </c>
      <c r="E169" t="s">
        <v>248</v>
      </c>
      <c r="G169" t="s">
        <v>46</v>
      </c>
      <c r="H169" t="s">
        <v>46</v>
      </c>
      <c r="I169" t="s">
        <v>46</v>
      </c>
      <c r="K169" t="s">
        <v>46</v>
      </c>
      <c r="L169" t="s">
        <v>46</v>
      </c>
      <c r="M169" t="s">
        <v>46</v>
      </c>
      <c r="O169" s="1">
        <v>45149.771782407406</v>
      </c>
      <c r="P169" s="1">
        <v>45149.755393518521</v>
      </c>
      <c r="U169" t="s">
        <v>38</v>
      </c>
      <c r="AC169" t="s">
        <v>86</v>
      </c>
      <c r="AD169">
        <v>1</v>
      </c>
      <c r="AE169" t="s">
        <v>42</v>
      </c>
    </row>
    <row r="170" spans="1:32" x14ac:dyDescent="0.2">
      <c r="A170" t="s">
        <v>251</v>
      </c>
      <c r="B170" t="s">
        <v>252</v>
      </c>
      <c r="C170" t="s">
        <v>34</v>
      </c>
      <c r="D170" t="s">
        <v>253</v>
      </c>
      <c r="E170" t="s">
        <v>248</v>
      </c>
      <c r="F170">
        <v>0.28634120451790701</v>
      </c>
      <c r="J170">
        <v>2964.9589300684302</v>
      </c>
      <c r="O170" s="1">
        <v>45149.772303240738</v>
      </c>
      <c r="P170" s="1">
        <v>45149.772546296299</v>
      </c>
      <c r="Q170" t="s">
        <v>37</v>
      </c>
      <c r="R170">
        <v>60776</v>
      </c>
      <c r="S170">
        <v>0</v>
      </c>
      <c r="U170" t="s">
        <v>38</v>
      </c>
      <c r="V170">
        <v>0.24899367452558899</v>
      </c>
      <c r="W170">
        <v>196.194839254046</v>
      </c>
      <c r="X170" t="s">
        <v>39</v>
      </c>
      <c r="Y170" t="s">
        <v>40</v>
      </c>
      <c r="Z170">
        <v>1</v>
      </c>
      <c r="AA170">
        <v>90.520871396180695</v>
      </c>
      <c r="AB170">
        <v>12173</v>
      </c>
      <c r="AC170" t="s">
        <v>86</v>
      </c>
      <c r="AD170">
        <v>1</v>
      </c>
      <c r="AE170" t="s">
        <v>42</v>
      </c>
      <c r="AF170" t="s">
        <v>254</v>
      </c>
    </row>
    <row r="171" spans="1:32" x14ac:dyDescent="0.2">
      <c r="A171" t="s">
        <v>251</v>
      </c>
      <c r="B171" t="s">
        <v>252</v>
      </c>
      <c r="C171" t="s">
        <v>34</v>
      </c>
      <c r="D171" t="s">
        <v>253</v>
      </c>
      <c r="E171" t="s">
        <v>248</v>
      </c>
      <c r="F171">
        <v>0.22636698942418601</v>
      </c>
      <c r="J171">
        <v>2303.5420068063399</v>
      </c>
      <c r="O171" s="1">
        <v>45149.772824074076</v>
      </c>
      <c r="P171" s="1">
        <v>45149.773078703707</v>
      </c>
      <c r="Q171" t="s">
        <v>37</v>
      </c>
      <c r="R171">
        <v>60777</v>
      </c>
      <c r="S171">
        <v>0</v>
      </c>
      <c r="U171" t="s">
        <v>38</v>
      </c>
      <c r="V171">
        <v>0.202574598728859</v>
      </c>
      <c r="W171">
        <v>196.194839254046</v>
      </c>
      <c r="X171" t="s">
        <v>39</v>
      </c>
      <c r="Y171" t="s">
        <v>40</v>
      </c>
      <c r="Z171">
        <v>1</v>
      </c>
      <c r="AA171">
        <v>92.760534361091203</v>
      </c>
      <c r="AB171">
        <v>18566</v>
      </c>
      <c r="AC171" t="s">
        <v>86</v>
      </c>
      <c r="AD171">
        <v>1</v>
      </c>
      <c r="AE171" t="s">
        <v>42</v>
      </c>
      <c r="AF171" t="s">
        <v>255</v>
      </c>
    </row>
    <row r="172" spans="1:32" x14ac:dyDescent="0.2">
      <c r="A172" t="s">
        <v>251</v>
      </c>
      <c r="B172" t="s">
        <v>252</v>
      </c>
      <c r="C172" t="s">
        <v>34</v>
      </c>
      <c r="D172" t="s">
        <v>253</v>
      </c>
      <c r="E172" t="s">
        <v>248</v>
      </c>
      <c r="F172">
        <v>0.30577752857111301</v>
      </c>
      <c r="J172">
        <v>3182.7071129618598</v>
      </c>
      <c r="O172" s="1">
        <v>45149.773344907408</v>
      </c>
      <c r="P172" s="1">
        <v>45149.773599537039</v>
      </c>
      <c r="Q172" t="s">
        <v>37</v>
      </c>
      <c r="R172">
        <v>60778</v>
      </c>
      <c r="S172">
        <v>0</v>
      </c>
      <c r="U172" t="s">
        <v>38</v>
      </c>
      <c r="V172">
        <v>0.26344953733591597</v>
      </c>
      <c r="W172">
        <v>196.194839254046</v>
      </c>
      <c r="X172" t="s">
        <v>39</v>
      </c>
      <c r="Y172" t="s">
        <v>40</v>
      </c>
      <c r="Z172">
        <v>1</v>
      </c>
      <c r="AA172">
        <v>87.238251548362101</v>
      </c>
      <c r="AB172">
        <v>18588</v>
      </c>
      <c r="AC172" t="s">
        <v>86</v>
      </c>
      <c r="AD172">
        <v>1</v>
      </c>
      <c r="AE172" t="s">
        <v>42</v>
      </c>
      <c r="AF172" t="s">
        <v>256</v>
      </c>
    </row>
    <row r="173" spans="1:32" x14ac:dyDescent="0.2">
      <c r="A173" t="s">
        <v>251</v>
      </c>
      <c r="B173" t="s">
        <v>252</v>
      </c>
      <c r="C173" t="s">
        <v>34</v>
      </c>
      <c r="D173" t="s">
        <v>253</v>
      </c>
      <c r="E173" t="s">
        <v>248</v>
      </c>
      <c r="G173">
        <v>0.27282857417106898</v>
      </c>
      <c r="H173">
        <v>4.1393862057907897E-2</v>
      </c>
      <c r="I173">
        <v>0.15172113912068899</v>
      </c>
      <c r="K173">
        <v>2817.0693499455401</v>
      </c>
      <c r="L173">
        <v>457.860586753277</v>
      </c>
      <c r="M173">
        <v>0.162530818335064</v>
      </c>
      <c r="O173" s="1">
        <v>45149.773344907408</v>
      </c>
      <c r="P173" s="1">
        <v>45149.773599537039</v>
      </c>
      <c r="U173" t="s">
        <v>38</v>
      </c>
      <c r="AC173" t="s">
        <v>86</v>
      </c>
      <c r="AD173">
        <v>1</v>
      </c>
      <c r="AE173" t="s">
        <v>42</v>
      </c>
    </row>
    <row r="174" spans="1:32" x14ac:dyDescent="0.2">
      <c r="A174" t="s">
        <v>257</v>
      </c>
      <c r="B174" t="s">
        <v>252</v>
      </c>
      <c r="C174" t="s">
        <v>34</v>
      </c>
      <c r="D174" t="s">
        <v>258</v>
      </c>
      <c r="E174" t="s">
        <v>248</v>
      </c>
      <c r="F174">
        <v>3.1888353366828798E-2</v>
      </c>
      <c r="J174">
        <v>262.80706720609999</v>
      </c>
      <c r="O174" s="1">
        <v>45149.773865740739</v>
      </c>
      <c r="P174" s="1">
        <v>45149.77412037037</v>
      </c>
      <c r="Q174" t="s">
        <v>37</v>
      </c>
      <c r="R174">
        <v>60779</v>
      </c>
      <c r="S174">
        <v>0</v>
      </c>
      <c r="U174" t="s">
        <v>38</v>
      </c>
      <c r="V174">
        <v>3.1385281385281398E-2</v>
      </c>
      <c r="W174">
        <v>196.194839254046</v>
      </c>
      <c r="X174" t="s">
        <v>39</v>
      </c>
      <c r="Y174" t="s">
        <v>40</v>
      </c>
      <c r="Z174">
        <v>1</v>
      </c>
      <c r="AA174">
        <v>191.66160502351099</v>
      </c>
      <c r="AB174">
        <v>14784</v>
      </c>
      <c r="AC174" t="s">
        <v>86</v>
      </c>
      <c r="AD174">
        <v>1</v>
      </c>
      <c r="AE174" t="s">
        <v>42</v>
      </c>
      <c r="AF174" t="s">
        <v>259</v>
      </c>
    </row>
    <row r="175" spans="1:32" x14ac:dyDescent="0.2">
      <c r="A175" t="s">
        <v>257</v>
      </c>
      <c r="B175" t="s">
        <v>252</v>
      </c>
      <c r="C175" t="s">
        <v>34</v>
      </c>
      <c r="D175" t="s">
        <v>258</v>
      </c>
      <c r="E175" t="s">
        <v>248</v>
      </c>
      <c r="F175">
        <v>3.4853534997344802E-2</v>
      </c>
      <c r="J175">
        <v>292.76213691355298</v>
      </c>
      <c r="O175" s="1">
        <v>45149.774386574078</v>
      </c>
      <c r="P175" s="1">
        <v>45149.774641203701</v>
      </c>
      <c r="Q175" t="s">
        <v>37</v>
      </c>
      <c r="R175">
        <v>60780</v>
      </c>
      <c r="S175">
        <v>0</v>
      </c>
      <c r="U175" t="s">
        <v>38</v>
      </c>
      <c r="V175">
        <v>3.4253145984989603E-2</v>
      </c>
      <c r="W175">
        <v>196.194839254046</v>
      </c>
      <c r="X175" t="s">
        <v>39</v>
      </c>
      <c r="Y175" t="s">
        <v>40</v>
      </c>
      <c r="Z175">
        <v>1</v>
      </c>
      <c r="AA175">
        <v>192.47990260206899</v>
      </c>
      <c r="AB175">
        <v>17721</v>
      </c>
      <c r="AC175" t="s">
        <v>86</v>
      </c>
      <c r="AD175">
        <v>1</v>
      </c>
      <c r="AE175" t="s">
        <v>42</v>
      </c>
      <c r="AF175" t="s">
        <v>260</v>
      </c>
    </row>
    <row r="176" spans="1:32" x14ac:dyDescent="0.2">
      <c r="A176" t="s">
        <v>257</v>
      </c>
      <c r="B176" t="s">
        <v>252</v>
      </c>
      <c r="C176" t="s">
        <v>34</v>
      </c>
      <c r="D176" t="s">
        <v>258</v>
      </c>
      <c r="E176" t="s">
        <v>248</v>
      </c>
      <c r="F176">
        <v>3.2518348785666798E-2</v>
      </c>
      <c r="J176">
        <v>269.16839081897598</v>
      </c>
      <c r="O176" s="1">
        <v>45149.774907407409</v>
      </c>
      <c r="P176" s="1">
        <v>45149.775150462963</v>
      </c>
      <c r="Q176" t="s">
        <v>37</v>
      </c>
      <c r="R176">
        <v>60781</v>
      </c>
      <c r="S176">
        <v>0</v>
      </c>
      <c r="U176" t="s">
        <v>38</v>
      </c>
      <c r="V176">
        <v>3.1995312042191602E-2</v>
      </c>
      <c r="W176">
        <v>196.194839254046</v>
      </c>
      <c r="X176" t="s">
        <v>39</v>
      </c>
      <c r="Y176" t="s">
        <v>40</v>
      </c>
      <c r="Z176">
        <v>1</v>
      </c>
      <c r="AA176">
        <v>200.71000458987399</v>
      </c>
      <c r="AB176">
        <v>17065</v>
      </c>
      <c r="AC176" t="s">
        <v>86</v>
      </c>
      <c r="AD176">
        <v>1</v>
      </c>
      <c r="AE176" t="s">
        <v>42</v>
      </c>
      <c r="AF176" t="s">
        <v>261</v>
      </c>
    </row>
    <row r="177" spans="1:32" x14ac:dyDescent="0.2">
      <c r="A177" t="s">
        <v>257</v>
      </c>
      <c r="B177" t="s">
        <v>252</v>
      </c>
      <c r="C177" t="s">
        <v>34</v>
      </c>
      <c r="D177" t="s">
        <v>258</v>
      </c>
      <c r="E177" t="s">
        <v>248</v>
      </c>
      <c r="G177">
        <v>3.3086745716613498E-2</v>
      </c>
      <c r="H177">
        <v>1.5621721508270101E-3</v>
      </c>
      <c r="I177">
        <v>4.7214439407457801E-2</v>
      </c>
      <c r="K177">
        <v>274.91253164621003</v>
      </c>
      <c r="L177">
        <v>15.782044090576701</v>
      </c>
      <c r="M177">
        <v>5.7407510658287697E-2</v>
      </c>
      <c r="O177" s="1">
        <v>45149.774907407409</v>
      </c>
      <c r="P177" s="1">
        <v>45149.775150462963</v>
      </c>
      <c r="U177" t="s">
        <v>38</v>
      </c>
      <c r="AC177" t="s">
        <v>86</v>
      </c>
      <c r="AD177">
        <v>1</v>
      </c>
      <c r="AE177" t="s">
        <v>42</v>
      </c>
    </row>
    <row r="178" spans="1:32" x14ac:dyDescent="0.2">
      <c r="A178" t="s">
        <v>262</v>
      </c>
      <c r="B178" t="s">
        <v>252</v>
      </c>
      <c r="C178" t="s">
        <v>34</v>
      </c>
      <c r="D178" t="s">
        <v>263</v>
      </c>
      <c r="E178" t="s">
        <v>248</v>
      </c>
      <c r="F178">
        <v>3.4600086114903797E-2</v>
      </c>
      <c r="J178">
        <v>290.20030001210898</v>
      </c>
      <c r="O178" s="1">
        <v>45149.77542824074</v>
      </c>
      <c r="P178" s="1">
        <v>45149.775671296295</v>
      </c>
      <c r="Q178" t="s">
        <v>37</v>
      </c>
      <c r="R178">
        <v>60782</v>
      </c>
      <c r="S178">
        <v>0</v>
      </c>
      <c r="U178" t="s">
        <v>38</v>
      </c>
      <c r="V178">
        <v>3.4008347503478101E-2</v>
      </c>
      <c r="W178">
        <v>196.194839254046</v>
      </c>
      <c r="X178" t="s">
        <v>39</v>
      </c>
      <c r="Y178" t="s">
        <v>40</v>
      </c>
      <c r="Z178">
        <v>1</v>
      </c>
      <c r="AA178">
        <v>226.11946442520599</v>
      </c>
      <c r="AB178">
        <v>19407</v>
      </c>
      <c r="AC178" t="s">
        <v>86</v>
      </c>
      <c r="AD178">
        <v>1</v>
      </c>
      <c r="AE178" t="s">
        <v>42</v>
      </c>
      <c r="AF178" t="s">
        <v>264</v>
      </c>
    </row>
    <row r="179" spans="1:32" x14ac:dyDescent="0.2">
      <c r="A179" t="s">
        <v>262</v>
      </c>
      <c r="B179" t="s">
        <v>252</v>
      </c>
      <c r="C179" t="s">
        <v>34</v>
      </c>
      <c r="D179" t="s">
        <v>263</v>
      </c>
      <c r="E179" t="s">
        <v>248</v>
      </c>
      <c r="F179" t="s">
        <v>46</v>
      </c>
      <c r="J179" t="s">
        <v>46</v>
      </c>
      <c r="O179" s="1">
        <v>45149.775949074072</v>
      </c>
      <c r="P179" s="1">
        <v>45149.776192129626</v>
      </c>
      <c r="Q179" t="s">
        <v>37</v>
      </c>
      <c r="R179">
        <v>60783</v>
      </c>
      <c r="S179">
        <v>4</v>
      </c>
      <c r="T179" t="s">
        <v>265</v>
      </c>
      <c r="U179" t="s">
        <v>38</v>
      </c>
      <c r="V179" t="s">
        <v>46</v>
      </c>
      <c r="W179">
        <v>196.194839254046</v>
      </c>
      <c r="X179" t="s">
        <v>39</v>
      </c>
      <c r="Y179" t="s">
        <v>55</v>
      </c>
      <c r="Z179" t="s">
        <v>46</v>
      </c>
      <c r="AA179" t="s">
        <v>46</v>
      </c>
      <c r="AB179" t="s">
        <v>46</v>
      </c>
      <c r="AC179" t="s">
        <v>86</v>
      </c>
      <c r="AD179">
        <v>1</v>
      </c>
      <c r="AE179" t="s">
        <v>42</v>
      </c>
    </row>
    <row r="180" spans="1:32" x14ac:dyDescent="0.2">
      <c r="A180" t="s">
        <v>262</v>
      </c>
      <c r="B180" t="s">
        <v>252</v>
      </c>
      <c r="C180" t="s">
        <v>34</v>
      </c>
      <c r="D180" t="s">
        <v>263</v>
      </c>
      <c r="E180" t="s">
        <v>248</v>
      </c>
      <c r="F180">
        <v>4.1268275539121102E-2</v>
      </c>
      <c r="J180">
        <v>357.68995468142401</v>
      </c>
      <c r="O180" s="1">
        <v>45149.776469907411</v>
      </c>
      <c r="P180" s="1">
        <v>45149.776712962965</v>
      </c>
      <c r="Q180" t="s">
        <v>37</v>
      </c>
      <c r="R180">
        <v>60784</v>
      </c>
      <c r="S180">
        <v>0</v>
      </c>
      <c r="U180" t="s">
        <v>38</v>
      </c>
      <c r="V180">
        <v>4.0428334192292303E-2</v>
      </c>
      <c r="W180">
        <v>196.194839254046</v>
      </c>
      <c r="X180" t="s">
        <v>39</v>
      </c>
      <c r="Y180" t="s">
        <v>40</v>
      </c>
      <c r="Z180">
        <v>1</v>
      </c>
      <c r="AA180">
        <v>244.56250628807999</v>
      </c>
      <c r="AB180">
        <v>17463</v>
      </c>
      <c r="AC180" t="s">
        <v>86</v>
      </c>
      <c r="AD180">
        <v>1</v>
      </c>
      <c r="AE180" t="s">
        <v>42</v>
      </c>
      <c r="AF180" t="s">
        <v>266</v>
      </c>
    </row>
    <row r="181" spans="1:32" x14ac:dyDescent="0.2">
      <c r="A181" t="s">
        <v>262</v>
      </c>
      <c r="B181" t="s">
        <v>252</v>
      </c>
      <c r="C181" t="s">
        <v>34</v>
      </c>
      <c r="D181" t="s">
        <v>263</v>
      </c>
      <c r="E181" t="s">
        <v>248</v>
      </c>
      <c r="G181">
        <v>3.7934180827012401E-2</v>
      </c>
      <c r="H181">
        <v>4.7151219601005096E-3</v>
      </c>
      <c r="I181">
        <v>0.124297450407653</v>
      </c>
      <c r="K181">
        <v>323.94512734676698</v>
      </c>
      <c r="L181">
        <v>47.7223924766107</v>
      </c>
      <c r="M181">
        <v>0.14731628429627899</v>
      </c>
      <c r="O181" s="1">
        <v>45149.776469907411</v>
      </c>
      <c r="P181" s="1">
        <v>45149.776712962965</v>
      </c>
      <c r="U181" t="s">
        <v>38</v>
      </c>
      <c r="AC181" t="s">
        <v>86</v>
      </c>
      <c r="AD181">
        <v>1</v>
      </c>
      <c r="AE181" t="s">
        <v>42</v>
      </c>
    </row>
    <row r="182" spans="1:32" x14ac:dyDescent="0.2">
      <c r="A182" t="s">
        <v>267</v>
      </c>
      <c r="B182" t="s">
        <v>252</v>
      </c>
      <c r="C182" t="s">
        <v>34</v>
      </c>
      <c r="D182" t="s">
        <v>268</v>
      </c>
      <c r="E182" t="s">
        <v>248</v>
      </c>
      <c r="F182">
        <v>3.2223332878458001E-2</v>
      </c>
      <c r="J182">
        <v>266.18928738947102</v>
      </c>
      <c r="O182" s="1">
        <v>45149.776990740742</v>
      </c>
      <c r="P182" s="1">
        <v>45149.777233796296</v>
      </c>
      <c r="Q182" t="s">
        <v>37</v>
      </c>
      <c r="R182">
        <v>60785</v>
      </c>
      <c r="S182">
        <v>0</v>
      </c>
      <c r="U182" t="s">
        <v>38</v>
      </c>
      <c r="V182">
        <v>3.17096931320019E-2</v>
      </c>
      <c r="W182">
        <v>196.194839254046</v>
      </c>
      <c r="X182" t="s">
        <v>39</v>
      </c>
      <c r="Y182" t="s">
        <v>40</v>
      </c>
      <c r="Z182">
        <v>1</v>
      </c>
      <c r="AA182">
        <v>219.080175506091</v>
      </c>
      <c r="AB182">
        <v>20530</v>
      </c>
      <c r="AC182" t="s">
        <v>86</v>
      </c>
      <c r="AD182">
        <v>1</v>
      </c>
      <c r="AE182" t="s">
        <v>42</v>
      </c>
      <c r="AF182" t="s">
        <v>269</v>
      </c>
    </row>
    <row r="183" spans="1:32" x14ac:dyDescent="0.2">
      <c r="A183" t="s">
        <v>267</v>
      </c>
      <c r="B183" t="s">
        <v>252</v>
      </c>
      <c r="C183" t="s">
        <v>34</v>
      </c>
      <c r="D183" t="s">
        <v>268</v>
      </c>
      <c r="E183" t="s">
        <v>248</v>
      </c>
      <c r="F183">
        <v>3.2732384156700899E-2</v>
      </c>
      <c r="J183">
        <v>271.32997086085697</v>
      </c>
      <c r="O183" s="1">
        <v>45149.777511574073</v>
      </c>
      <c r="P183" s="1">
        <v>45149.777754629627</v>
      </c>
      <c r="Q183" t="s">
        <v>37</v>
      </c>
      <c r="R183">
        <v>60786</v>
      </c>
      <c r="S183">
        <v>0</v>
      </c>
      <c r="U183" t="s">
        <v>38</v>
      </c>
      <c r="V183">
        <v>3.2202477113624103E-2</v>
      </c>
      <c r="W183">
        <v>196.194839254046</v>
      </c>
      <c r="X183" t="s">
        <v>39</v>
      </c>
      <c r="Y183" t="s">
        <v>40</v>
      </c>
      <c r="Z183">
        <v>1</v>
      </c>
      <c r="AA183">
        <v>228.294165455506</v>
      </c>
      <c r="AB183">
        <v>18570</v>
      </c>
      <c r="AC183" t="s">
        <v>86</v>
      </c>
      <c r="AD183">
        <v>1</v>
      </c>
      <c r="AE183" t="s">
        <v>42</v>
      </c>
      <c r="AF183" t="s">
        <v>270</v>
      </c>
    </row>
    <row r="184" spans="1:32" x14ac:dyDescent="0.2">
      <c r="A184" t="s">
        <v>267</v>
      </c>
      <c r="B184" t="s">
        <v>252</v>
      </c>
      <c r="C184" t="s">
        <v>34</v>
      </c>
      <c r="D184" t="s">
        <v>268</v>
      </c>
      <c r="E184" t="s">
        <v>248</v>
      </c>
      <c r="F184">
        <v>3.15286036729963E-2</v>
      </c>
      <c r="J184">
        <v>259.17526930969001</v>
      </c>
      <c r="O184" s="1">
        <v>45149.778032407405</v>
      </c>
      <c r="P184" s="1">
        <v>45149.778275462966</v>
      </c>
      <c r="Q184" t="s">
        <v>37</v>
      </c>
      <c r="R184">
        <v>60787</v>
      </c>
      <c r="S184">
        <v>0</v>
      </c>
      <c r="U184" t="s">
        <v>38</v>
      </c>
      <c r="V184">
        <v>3.1036759850319201E-2</v>
      </c>
      <c r="W184">
        <v>196.194839254046</v>
      </c>
      <c r="X184" t="s">
        <v>39</v>
      </c>
      <c r="Y184" t="s">
        <v>40</v>
      </c>
      <c r="Z184">
        <v>1</v>
      </c>
      <c r="AA184">
        <v>223.60797963086699</v>
      </c>
      <c r="AB184">
        <v>18172</v>
      </c>
      <c r="AC184" t="s">
        <v>86</v>
      </c>
      <c r="AD184">
        <v>1</v>
      </c>
      <c r="AE184" t="s">
        <v>42</v>
      </c>
      <c r="AF184" t="s">
        <v>271</v>
      </c>
    </row>
    <row r="185" spans="1:32" x14ac:dyDescent="0.2">
      <c r="A185" t="s">
        <v>267</v>
      </c>
      <c r="B185" t="s">
        <v>252</v>
      </c>
      <c r="C185" t="s">
        <v>34</v>
      </c>
      <c r="D185" t="s">
        <v>268</v>
      </c>
      <c r="E185" t="s">
        <v>248</v>
      </c>
      <c r="G185">
        <v>3.2161440236051698E-2</v>
      </c>
      <c r="H185">
        <v>6.0427219663411903E-4</v>
      </c>
      <c r="I185">
        <v>1.8788716929310698E-2</v>
      </c>
      <c r="K185">
        <v>265.56484252000598</v>
      </c>
      <c r="L185">
        <v>6.1013638635747096</v>
      </c>
      <c r="M185">
        <v>2.29750437056256E-2</v>
      </c>
      <c r="O185" s="1">
        <v>45149.778032407405</v>
      </c>
      <c r="P185" s="1">
        <v>45149.778275462966</v>
      </c>
      <c r="U185" t="s">
        <v>38</v>
      </c>
      <c r="AC185" t="s">
        <v>86</v>
      </c>
      <c r="AD185">
        <v>1</v>
      </c>
      <c r="AE185" t="s">
        <v>42</v>
      </c>
    </row>
    <row r="186" spans="1:32" x14ac:dyDescent="0.2">
      <c r="A186" t="s">
        <v>272</v>
      </c>
      <c r="B186" t="s">
        <v>252</v>
      </c>
      <c r="C186" t="s">
        <v>34</v>
      </c>
      <c r="D186" t="s">
        <v>273</v>
      </c>
      <c r="E186" t="s">
        <v>248</v>
      </c>
      <c r="F186">
        <v>0.21786990653628799</v>
      </c>
      <c r="J186">
        <v>2211.0933975223802</v>
      </c>
      <c r="O186" s="1">
        <v>45149.778553240743</v>
      </c>
      <c r="P186" s="1">
        <v>45149.778796296298</v>
      </c>
      <c r="Q186" t="s">
        <v>37</v>
      </c>
      <c r="R186">
        <v>60788</v>
      </c>
      <c r="S186">
        <v>0</v>
      </c>
      <c r="U186" t="s">
        <v>38</v>
      </c>
      <c r="V186">
        <v>0.19576994006454601</v>
      </c>
      <c r="W186">
        <v>196.194839254046</v>
      </c>
      <c r="X186" t="s">
        <v>39</v>
      </c>
      <c r="Y186" t="s">
        <v>40</v>
      </c>
      <c r="Z186">
        <v>1</v>
      </c>
      <c r="AA186">
        <v>211.114419800506</v>
      </c>
      <c r="AB186">
        <v>17352</v>
      </c>
      <c r="AC186" t="s">
        <v>86</v>
      </c>
      <c r="AD186">
        <v>1</v>
      </c>
      <c r="AE186" t="s">
        <v>42</v>
      </c>
      <c r="AF186" t="s">
        <v>274</v>
      </c>
    </row>
    <row r="187" spans="1:32" x14ac:dyDescent="0.2">
      <c r="A187" t="s">
        <v>272</v>
      </c>
      <c r="B187" t="s">
        <v>252</v>
      </c>
      <c r="C187" t="s">
        <v>34</v>
      </c>
      <c r="D187" t="s">
        <v>273</v>
      </c>
      <c r="E187" t="s">
        <v>248</v>
      </c>
      <c r="F187">
        <v>0.21957269313795999</v>
      </c>
      <c r="J187">
        <v>2229.5950253737301</v>
      </c>
      <c r="O187" s="1">
        <v>45149.779074074075</v>
      </c>
      <c r="P187" s="1">
        <v>45149.779328703706</v>
      </c>
      <c r="Q187" t="s">
        <v>37</v>
      </c>
      <c r="R187">
        <v>60789</v>
      </c>
      <c r="S187">
        <v>0</v>
      </c>
      <c r="U187" t="s">
        <v>38</v>
      </c>
      <c r="V187">
        <v>0.19713820697138201</v>
      </c>
      <c r="W187">
        <v>196.194839254046</v>
      </c>
      <c r="X187" t="s">
        <v>39</v>
      </c>
      <c r="Y187" t="s">
        <v>40</v>
      </c>
      <c r="Z187">
        <v>1</v>
      </c>
      <c r="AA187">
        <v>215.67444958844101</v>
      </c>
      <c r="AB187">
        <v>14746</v>
      </c>
      <c r="AC187" t="s">
        <v>86</v>
      </c>
      <c r="AD187">
        <v>1</v>
      </c>
      <c r="AE187" t="s">
        <v>42</v>
      </c>
      <c r="AF187" t="s">
        <v>275</v>
      </c>
    </row>
    <row r="188" spans="1:32" x14ac:dyDescent="0.2">
      <c r="A188" t="s">
        <v>272</v>
      </c>
      <c r="B188" t="s">
        <v>252</v>
      </c>
      <c r="C188" t="s">
        <v>34</v>
      </c>
      <c r="D188" t="s">
        <v>273</v>
      </c>
      <c r="E188" t="s">
        <v>248</v>
      </c>
      <c r="F188">
        <v>0.198340653004939</v>
      </c>
      <c r="J188">
        <v>1999.7813480068401</v>
      </c>
      <c r="O188" s="1">
        <v>45149.779594907406</v>
      </c>
      <c r="P188" s="1">
        <v>45149.77983796296</v>
      </c>
      <c r="Q188" t="s">
        <v>37</v>
      </c>
      <c r="R188">
        <v>60790</v>
      </c>
      <c r="S188">
        <v>0</v>
      </c>
      <c r="U188" t="s">
        <v>38</v>
      </c>
      <c r="V188">
        <v>0.17990956072351399</v>
      </c>
      <c r="W188">
        <v>196.194839254046</v>
      </c>
      <c r="X188" t="s">
        <v>39</v>
      </c>
      <c r="Y188" t="s">
        <v>40</v>
      </c>
      <c r="Z188">
        <v>1</v>
      </c>
      <c r="AA188">
        <v>210.479851779521</v>
      </c>
      <c r="AB188">
        <v>18576</v>
      </c>
      <c r="AC188" t="s">
        <v>86</v>
      </c>
      <c r="AD188">
        <v>1</v>
      </c>
      <c r="AE188" t="s">
        <v>42</v>
      </c>
      <c r="AF188" t="s">
        <v>276</v>
      </c>
    </row>
    <row r="189" spans="1:32" x14ac:dyDescent="0.2">
      <c r="A189" t="s">
        <v>272</v>
      </c>
      <c r="B189" t="s">
        <v>252</v>
      </c>
      <c r="C189" t="s">
        <v>34</v>
      </c>
      <c r="D189" t="s">
        <v>273</v>
      </c>
      <c r="E189" t="s">
        <v>248</v>
      </c>
      <c r="G189">
        <v>0.21192775089306201</v>
      </c>
      <c r="H189">
        <v>1.17975333150106E-2</v>
      </c>
      <c r="I189">
        <v>5.5667713479220497E-2</v>
      </c>
      <c r="K189">
        <v>2146.8232569676502</v>
      </c>
      <c r="L189">
        <v>127.677601016848</v>
      </c>
      <c r="M189">
        <v>5.9472805039940901E-2</v>
      </c>
      <c r="O189" s="1">
        <v>45149.779594907406</v>
      </c>
      <c r="P189" s="1">
        <v>45149.77983796296</v>
      </c>
      <c r="U189" t="s">
        <v>38</v>
      </c>
      <c r="AC189" t="s">
        <v>86</v>
      </c>
      <c r="AD189">
        <v>1</v>
      </c>
      <c r="AE189" t="s">
        <v>42</v>
      </c>
    </row>
    <row r="190" spans="1:32" x14ac:dyDescent="0.2">
      <c r="A190" t="s">
        <v>277</v>
      </c>
      <c r="B190" t="s">
        <v>252</v>
      </c>
      <c r="C190" t="s">
        <v>34</v>
      </c>
      <c r="D190" t="s">
        <v>278</v>
      </c>
      <c r="E190" t="s">
        <v>248</v>
      </c>
      <c r="F190">
        <v>0.222588612343254</v>
      </c>
      <c r="J190">
        <v>2262.3949323013198</v>
      </c>
      <c r="O190" s="1">
        <v>45149.780115740738</v>
      </c>
      <c r="P190" s="1">
        <v>45149.780370370368</v>
      </c>
      <c r="Q190" t="s">
        <v>37</v>
      </c>
      <c r="R190">
        <v>60791</v>
      </c>
      <c r="S190">
        <v>0</v>
      </c>
      <c r="U190" t="s">
        <v>38</v>
      </c>
      <c r="V190">
        <v>0.19955592561754101</v>
      </c>
      <c r="W190">
        <v>196.194839254046</v>
      </c>
      <c r="X190" t="s">
        <v>39</v>
      </c>
      <c r="Y190" t="s">
        <v>40</v>
      </c>
      <c r="Z190">
        <v>1</v>
      </c>
      <c r="AA190">
        <v>207.848484995869</v>
      </c>
      <c r="AB190">
        <v>14412</v>
      </c>
      <c r="AC190" t="s">
        <v>86</v>
      </c>
      <c r="AD190">
        <v>1</v>
      </c>
      <c r="AE190" t="s">
        <v>42</v>
      </c>
      <c r="AF190" t="s">
        <v>279</v>
      </c>
    </row>
    <row r="191" spans="1:32" x14ac:dyDescent="0.2">
      <c r="A191" t="s">
        <v>277</v>
      </c>
      <c r="B191" t="s">
        <v>252</v>
      </c>
      <c r="C191" t="s">
        <v>34</v>
      </c>
      <c r="D191" t="s">
        <v>278</v>
      </c>
      <c r="E191" t="s">
        <v>248</v>
      </c>
      <c r="F191">
        <v>0.220886747144346</v>
      </c>
      <c r="J191">
        <v>2243.8813551984199</v>
      </c>
      <c r="O191" s="1">
        <v>45149.780636574076</v>
      </c>
      <c r="P191" s="1">
        <v>45149.78087962963</v>
      </c>
      <c r="Q191" t="s">
        <v>37</v>
      </c>
      <c r="R191">
        <v>60792</v>
      </c>
      <c r="S191">
        <v>0</v>
      </c>
      <c r="U191" t="s">
        <v>38</v>
      </c>
      <c r="V191">
        <v>0.198192517864649</v>
      </c>
      <c r="W191">
        <v>196.194839254046</v>
      </c>
      <c r="X191" t="s">
        <v>39</v>
      </c>
      <c r="Y191" t="s">
        <v>40</v>
      </c>
      <c r="Z191">
        <v>1</v>
      </c>
      <c r="AA191">
        <v>203.049697647485</v>
      </c>
      <c r="AB191">
        <v>19032</v>
      </c>
      <c r="AC191" t="s">
        <v>86</v>
      </c>
      <c r="AD191">
        <v>1</v>
      </c>
      <c r="AE191" t="s">
        <v>42</v>
      </c>
      <c r="AF191" t="s">
        <v>280</v>
      </c>
    </row>
    <row r="192" spans="1:32" x14ac:dyDescent="0.2">
      <c r="A192" t="s">
        <v>277</v>
      </c>
      <c r="B192" t="s">
        <v>252</v>
      </c>
      <c r="C192" t="s">
        <v>34</v>
      </c>
      <c r="D192" t="s">
        <v>278</v>
      </c>
      <c r="E192" t="s">
        <v>248</v>
      </c>
      <c r="F192">
        <v>0.22159909032393801</v>
      </c>
      <c r="J192">
        <v>2251.6290031684198</v>
      </c>
      <c r="O192" s="1">
        <v>45149.781157407408</v>
      </c>
      <c r="P192" s="1">
        <v>45149.781400462962</v>
      </c>
      <c r="Q192" t="s">
        <v>37</v>
      </c>
      <c r="R192">
        <v>60793</v>
      </c>
      <c r="S192">
        <v>0</v>
      </c>
      <c r="U192" t="s">
        <v>38</v>
      </c>
      <c r="V192">
        <v>0.19876347657248</v>
      </c>
      <c r="W192">
        <v>196.194839254046</v>
      </c>
      <c r="X192" t="s">
        <v>39</v>
      </c>
      <c r="Y192" t="s">
        <v>40</v>
      </c>
      <c r="Z192">
        <v>1</v>
      </c>
      <c r="AA192">
        <v>216.98827381544899</v>
      </c>
      <c r="AB192">
        <v>19571</v>
      </c>
      <c r="AC192" t="s">
        <v>86</v>
      </c>
      <c r="AD192">
        <v>1</v>
      </c>
      <c r="AE192" t="s">
        <v>42</v>
      </c>
      <c r="AF192" t="s">
        <v>281</v>
      </c>
    </row>
    <row r="193" spans="1:32" x14ac:dyDescent="0.2">
      <c r="A193" t="s">
        <v>277</v>
      </c>
      <c r="B193" t="s">
        <v>252</v>
      </c>
      <c r="C193" t="s">
        <v>34</v>
      </c>
      <c r="D193" t="s">
        <v>278</v>
      </c>
      <c r="E193" t="s">
        <v>248</v>
      </c>
      <c r="G193">
        <v>0.221691483270512</v>
      </c>
      <c r="H193">
        <v>8.5468627650508002E-4</v>
      </c>
      <c r="I193">
        <v>3.85529594505069E-3</v>
      </c>
      <c r="K193">
        <v>2252.6350968893898</v>
      </c>
      <c r="L193">
        <v>9.2977041638112805</v>
      </c>
      <c r="M193">
        <v>4.1274790473833402E-3</v>
      </c>
      <c r="O193" s="1">
        <v>45149.781157407408</v>
      </c>
      <c r="P193" s="1">
        <v>45149.781400462962</v>
      </c>
      <c r="U193" t="s">
        <v>38</v>
      </c>
      <c r="AC193" t="s">
        <v>86</v>
      </c>
      <c r="AD193">
        <v>1</v>
      </c>
      <c r="AE193" t="s">
        <v>42</v>
      </c>
    </row>
    <row r="194" spans="1:32" x14ac:dyDescent="0.2">
      <c r="A194" t="s">
        <v>282</v>
      </c>
      <c r="B194" t="s">
        <v>252</v>
      </c>
      <c r="C194" t="s">
        <v>34</v>
      </c>
      <c r="D194" t="s">
        <v>283</v>
      </c>
      <c r="E194" t="s">
        <v>248</v>
      </c>
      <c r="F194">
        <v>0.16213713060951701</v>
      </c>
      <c r="J194">
        <v>1612.3040096063401</v>
      </c>
      <c r="O194" s="1">
        <v>45149.784282407411</v>
      </c>
      <c r="P194" s="1">
        <v>45149.784525462965</v>
      </c>
      <c r="Q194" t="s">
        <v>37</v>
      </c>
      <c r="R194">
        <v>60794</v>
      </c>
      <c r="S194">
        <v>0</v>
      </c>
      <c r="U194" t="s">
        <v>38</v>
      </c>
      <c r="V194">
        <v>0.14967540898467899</v>
      </c>
      <c r="W194">
        <v>196.194839254046</v>
      </c>
      <c r="X194" t="s">
        <v>39</v>
      </c>
      <c r="Y194" t="s">
        <v>40</v>
      </c>
      <c r="Z194">
        <v>1</v>
      </c>
      <c r="AA194">
        <v>237.98338498440401</v>
      </c>
      <c r="AB194">
        <v>19255</v>
      </c>
      <c r="AC194" t="s">
        <v>86</v>
      </c>
      <c r="AD194">
        <v>1</v>
      </c>
      <c r="AE194" t="s">
        <v>42</v>
      </c>
      <c r="AF194" t="s">
        <v>284</v>
      </c>
    </row>
    <row r="195" spans="1:32" x14ac:dyDescent="0.2">
      <c r="A195" t="s">
        <v>282</v>
      </c>
      <c r="B195" t="s">
        <v>252</v>
      </c>
      <c r="C195" t="s">
        <v>34</v>
      </c>
      <c r="D195" t="s">
        <v>283</v>
      </c>
      <c r="E195" t="s">
        <v>248</v>
      </c>
      <c r="F195">
        <v>0.161448198245639</v>
      </c>
      <c r="J195">
        <v>1604.98363265547</v>
      </c>
      <c r="O195" s="1">
        <v>45149.784803240742</v>
      </c>
      <c r="P195" s="1">
        <v>45149.785057870373</v>
      </c>
      <c r="Q195" t="s">
        <v>37</v>
      </c>
      <c r="R195">
        <v>60795</v>
      </c>
      <c r="S195">
        <v>0</v>
      </c>
      <c r="U195" t="s">
        <v>38</v>
      </c>
      <c r="V195">
        <v>0.14908939101393301</v>
      </c>
      <c r="W195">
        <v>196.194839254046</v>
      </c>
      <c r="X195" t="s">
        <v>39</v>
      </c>
      <c r="Y195" t="s">
        <v>40</v>
      </c>
      <c r="Z195">
        <v>1</v>
      </c>
      <c r="AA195">
        <v>221.511804577997</v>
      </c>
      <c r="AB195">
        <v>19163</v>
      </c>
      <c r="AC195" t="s">
        <v>86</v>
      </c>
      <c r="AD195">
        <v>1</v>
      </c>
      <c r="AE195" t="s">
        <v>42</v>
      </c>
      <c r="AF195" t="s">
        <v>285</v>
      </c>
    </row>
    <row r="196" spans="1:32" x14ac:dyDescent="0.2">
      <c r="A196" t="s">
        <v>282</v>
      </c>
      <c r="B196" t="s">
        <v>252</v>
      </c>
      <c r="C196" t="s">
        <v>34</v>
      </c>
      <c r="D196" t="s">
        <v>283</v>
      </c>
      <c r="E196" t="s">
        <v>248</v>
      </c>
      <c r="F196">
        <v>0.16376512766345799</v>
      </c>
      <c r="J196">
        <v>1629.61042593414</v>
      </c>
      <c r="O196" s="1">
        <v>45149.785324074073</v>
      </c>
      <c r="P196" s="1">
        <v>45149.785578703704</v>
      </c>
      <c r="Q196" t="s">
        <v>37</v>
      </c>
      <c r="R196">
        <v>60796</v>
      </c>
      <c r="S196">
        <v>0</v>
      </c>
      <c r="U196" t="s">
        <v>38</v>
      </c>
      <c r="V196">
        <v>0.15105860868572701</v>
      </c>
      <c r="W196">
        <v>196.194839254046</v>
      </c>
      <c r="X196" t="s">
        <v>39</v>
      </c>
      <c r="Y196" t="s">
        <v>40</v>
      </c>
      <c r="Z196">
        <v>1</v>
      </c>
      <c r="AA196">
        <v>221.36156951685899</v>
      </c>
      <c r="AB196">
        <v>17523</v>
      </c>
      <c r="AC196" t="s">
        <v>86</v>
      </c>
      <c r="AD196">
        <v>1</v>
      </c>
      <c r="AE196" t="s">
        <v>42</v>
      </c>
      <c r="AF196" t="s">
        <v>286</v>
      </c>
    </row>
    <row r="197" spans="1:32" x14ac:dyDescent="0.2">
      <c r="A197" t="s">
        <v>282</v>
      </c>
      <c r="B197" t="s">
        <v>252</v>
      </c>
      <c r="C197" t="s">
        <v>34</v>
      </c>
      <c r="D197" t="s">
        <v>283</v>
      </c>
      <c r="E197" t="s">
        <v>248</v>
      </c>
      <c r="G197">
        <v>0.16245015217287101</v>
      </c>
      <c r="H197">
        <v>1.1897593690040299E-3</v>
      </c>
      <c r="I197">
        <v>7.3238427486232299E-3</v>
      </c>
      <c r="K197">
        <v>1615.63268939865</v>
      </c>
      <c r="L197">
        <v>12.6463361756404</v>
      </c>
      <c r="M197">
        <v>7.8274822356728894E-3</v>
      </c>
      <c r="O197" s="1">
        <v>45149.785324074073</v>
      </c>
      <c r="P197" s="1">
        <v>45149.785578703704</v>
      </c>
      <c r="U197" t="s">
        <v>38</v>
      </c>
      <c r="AC197" t="s">
        <v>86</v>
      </c>
      <c r="AD197">
        <v>1</v>
      </c>
      <c r="AE197" t="s">
        <v>42</v>
      </c>
    </row>
    <row r="198" spans="1:32" x14ac:dyDescent="0.2">
      <c r="A198" t="s">
        <v>287</v>
      </c>
      <c r="B198" t="s">
        <v>252</v>
      </c>
      <c r="C198" t="s">
        <v>34</v>
      </c>
      <c r="D198" t="s">
        <v>288</v>
      </c>
      <c r="E198" t="s">
        <v>248</v>
      </c>
      <c r="F198">
        <v>0.17838665634925699</v>
      </c>
      <c r="J198">
        <v>1785.53943016321</v>
      </c>
      <c r="O198" s="1">
        <v>45149.785844907405</v>
      </c>
      <c r="P198" s="1">
        <v>45149.786099537036</v>
      </c>
      <c r="Q198" t="s">
        <v>37</v>
      </c>
      <c r="R198">
        <v>60797</v>
      </c>
      <c r="S198">
        <v>0</v>
      </c>
      <c r="U198" t="s">
        <v>38</v>
      </c>
      <c r="V198">
        <v>0.16338112305854199</v>
      </c>
      <c r="W198">
        <v>196.194839254046</v>
      </c>
      <c r="X198" t="s">
        <v>39</v>
      </c>
      <c r="Y198" t="s">
        <v>40</v>
      </c>
      <c r="Z198">
        <v>1</v>
      </c>
      <c r="AA198">
        <v>232.47447754181999</v>
      </c>
      <c r="AB198">
        <v>10044</v>
      </c>
      <c r="AC198" t="s">
        <v>86</v>
      </c>
      <c r="AD198">
        <v>1</v>
      </c>
      <c r="AE198" t="s">
        <v>42</v>
      </c>
      <c r="AF198" t="s">
        <v>289</v>
      </c>
    </row>
    <row r="199" spans="1:32" x14ac:dyDescent="0.2">
      <c r="A199" t="s">
        <v>287</v>
      </c>
      <c r="B199" t="s">
        <v>252</v>
      </c>
      <c r="C199" t="s">
        <v>34</v>
      </c>
      <c r="D199" t="s">
        <v>288</v>
      </c>
      <c r="E199" t="s">
        <v>248</v>
      </c>
      <c r="F199">
        <v>0.17708137013039801</v>
      </c>
      <c r="J199">
        <v>1771.5831166535399</v>
      </c>
      <c r="O199" s="1">
        <v>45149.786365740743</v>
      </c>
      <c r="P199" s="1">
        <v>45149.786608796298</v>
      </c>
      <c r="Q199" t="s">
        <v>37</v>
      </c>
      <c r="R199">
        <v>60798</v>
      </c>
      <c r="S199">
        <v>0</v>
      </c>
      <c r="U199" t="s">
        <v>38</v>
      </c>
      <c r="V199">
        <v>0.16228838295388201</v>
      </c>
      <c r="W199">
        <v>196.194839254046</v>
      </c>
      <c r="X199" t="s">
        <v>39</v>
      </c>
      <c r="Y199" t="s">
        <v>40</v>
      </c>
      <c r="Z199">
        <v>1</v>
      </c>
      <c r="AA199">
        <v>227.48700705345701</v>
      </c>
      <c r="AB199">
        <v>17130</v>
      </c>
      <c r="AC199" t="s">
        <v>86</v>
      </c>
      <c r="AD199">
        <v>1</v>
      </c>
      <c r="AE199" t="s">
        <v>42</v>
      </c>
      <c r="AF199" t="s">
        <v>290</v>
      </c>
    </row>
    <row r="200" spans="1:32" x14ac:dyDescent="0.2">
      <c r="A200" t="s">
        <v>287</v>
      </c>
      <c r="B200" t="s">
        <v>252</v>
      </c>
      <c r="C200" t="s">
        <v>34</v>
      </c>
      <c r="D200" t="s">
        <v>288</v>
      </c>
      <c r="E200" t="s">
        <v>248</v>
      </c>
      <c r="F200">
        <v>0.17170594355577501</v>
      </c>
      <c r="J200">
        <v>1714.18334104012</v>
      </c>
      <c r="O200" s="1">
        <v>45149.786886574075</v>
      </c>
      <c r="P200" s="1">
        <v>45149.787141203706</v>
      </c>
      <c r="Q200" t="s">
        <v>37</v>
      </c>
      <c r="R200">
        <v>60799</v>
      </c>
      <c r="S200">
        <v>0</v>
      </c>
      <c r="U200" t="s">
        <v>38</v>
      </c>
      <c r="V200">
        <v>0.15777320102352899</v>
      </c>
      <c r="W200">
        <v>196.194839254046</v>
      </c>
      <c r="X200" t="s">
        <v>39</v>
      </c>
      <c r="Y200" t="s">
        <v>40</v>
      </c>
      <c r="Z200">
        <v>1</v>
      </c>
      <c r="AA200">
        <v>227.472163950621</v>
      </c>
      <c r="AB200">
        <v>16023</v>
      </c>
      <c r="AC200" t="s">
        <v>86</v>
      </c>
      <c r="AD200">
        <v>1</v>
      </c>
      <c r="AE200" t="s">
        <v>42</v>
      </c>
      <c r="AF200" t="s">
        <v>291</v>
      </c>
    </row>
    <row r="201" spans="1:32" x14ac:dyDescent="0.2">
      <c r="A201" t="s">
        <v>287</v>
      </c>
      <c r="B201" t="s">
        <v>252</v>
      </c>
      <c r="C201" t="s">
        <v>34</v>
      </c>
      <c r="D201" t="s">
        <v>288</v>
      </c>
      <c r="E201" t="s">
        <v>248</v>
      </c>
      <c r="G201">
        <v>0.175724656678477</v>
      </c>
      <c r="H201">
        <v>3.54097223940244E-3</v>
      </c>
      <c r="I201">
        <v>2.01506852045319E-2</v>
      </c>
      <c r="K201">
        <v>1757.10196261895</v>
      </c>
      <c r="L201">
        <v>37.817994795672099</v>
      </c>
      <c r="M201">
        <v>2.1522936972482001E-2</v>
      </c>
      <c r="O201" s="1">
        <v>45149.786886574075</v>
      </c>
      <c r="P201" s="1">
        <v>45149.787141203706</v>
      </c>
      <c r="U201" t="s">
        <v>38</v>
      </c>
      <c r="AC201" t="s">
        <v>86</v>
      </c>
      <c r="AD201">
        <v>1</v>
      </c>
      <c r="AE201" t="s">
        <v>42</v>
      </c>
    </row>
    <row r="202" spans="1:32" x14ac:dyDescent="0.2">
      <c r="A202" t="s">
        <v>292</v>
      </c>
      <c r="B202" t="s">
        <v>252</v>
      </c>
      <c r="C202" t="s">
        <v>34</v>
      </c>
      <c r="D202" t="s">
        <v>293</v>
      </c>
      <c r="E202" t="s">
        <v>248</v>
      </c>
      <c r="F202">
        <v>0.17903076358984599</v>
      </c>
      <c r="J202">
        <v>1792.4289484491601</v>
      </c>
      <c r="O202" s="1">
        <v>45149.787407407406</v>
      </c>
      <c r="P202" s="1">
        <v>45149.787662037037</v>
      </c>
      <c r="Q202" t="s">
        <v>37</v>
      </c>
      <c r="R202">
        <v>60800</v>
      </c>
      <c r="S202">
        <v>0</v>
      </c>
      <c r="U202" t="s">
        <v>38</v>
      </c>
      <c r="V202">
        <v>0.16391982182628101</v>
      </c>
      <c r="W202">
        <v>196.194839254046</v>
      </c>
      <c r="X202" t="s">
        <v>39</v>
      </c>
      <c r="Y202" t="s">
        <v>40</v>
      </c>
      <c r="Z202">
        <v>1</v>
      </c>
      <c r="AA202">
        <v>211.83004682161501</v>
      </c>
      <c r="AB202">
        <v>17960</v>
      </c>
      <c r="AC202" t="s">
        <v>86</v>
      </c>
      <c r="AD202">
        <v>1</v>
      </c>
      <c r="AE202" t="s">
        <v>42</v>
      </c>
      <c r="AF202" t="s">
        <v>294</v>
      </c>
    </row>
    <row r="203" spans="1:32" x14ac:dyDescent="0.2">
      <c r="A203" t="s">
        <v>292</v>
      </c>
      <c r="B203" t="s">
        <v>252</v>
      </c>
      <c r="C203" t="s">
        <v>34</v>
      </c>
      <c r="D203" t="s">
        <v>293</v>
      </c>
      <c r="E203" t="s">
        <v>248</v>
      </c>
      <c r="F203">
        <v>0.180342845171273</v>
      </c>
      <c r="J203">
        <v>1806.46864853839</v>
      </c>
      <c r="O203" s="1">
        <v>45149.787928240738</v>
      </c>
      <c r="P203" s="1">
        <v>45149.788182870368</v>
      </c>
      <c r="Q203" t="s">
        <v>37</v>
      </c>
      <c r="R203">
        <v>60801</v>
      </c>
      <c r="S203">
        <v>0</v>
      </c>
      <c r="U203" t="s">
        <v>38</v>
      </c>
      <c r="V203">
        <v>0.16501610786302401</v>
      </c>
      <c r="W203">
        <v>196.194839254046</v>
      </c>
      <c r="X203" t="s">
        <v>39</v>
      </c>
      <c r="Y203" t="s">
        <v>40</v>
      </c>
      <c r="Z203">
        <v>1</v>
      </c>
      <c r="AA203">
        <v>221.192905323877</v>
      </c>
      <c r="AB203">
        <v>16762</v>
      </c>
      <c r="AC203" t="s">
        <v>86</v>
      </c>
      <c r="AD203">
        <v>1</v>
      </c>
      <c r="AE203" t="s">
        <v>42</v>
      </c>
      <c r="AF203" t="s">
        <v>295</v>
      </c>
    </row>
    <row r="204" spans="1:32" x14ac:dyDescent="0.2">
      <c r="A204" t="s">
        <v>292</v>
      </c>
      <c r="B204" t="s">
        <v>252</v>
      </c>
      <c r="C204" t="s">
        <v>34</v>
      </c>
      <c r="D204" t="s">
        <v>293</v>
      </c>
      <c r="E204" t="s">
        <v>248</v>
      </c>
      <c r="F204">
        <v>0.19018106724136999</v>
      </c>
      <c r="J204">
        <v>1911.97102864927</v>
      </c>
      <c r="O204" s="1">
        <v>45149.788449074076</v>
      </c>
      <c r="P204" s="1">
        <v>45149.788703703707</v>
      </c>
      <c r="Q204" t="s">
        <v>37</v>
      </c>
      <c r="R204">
        <v>60802</v>
      </c>
      <c r="S204">
        <v>0</v>
      </c>
      <c r="U204" t="s">
        <v>38</v>
      </c>
      <c r="V204">
        <v>0.173190587710494</v>
      </c>
      <c r="W204">
        <v>196.194839254046</v>
      </c>
      <c r="X204" t="s">
        <v>39</v>
      </c>
      <c r="Y204" t="s">
        <v>40</v>
      </c>
      <c r="Z204">
        <v>1</v>
      </c>
      <c r="AA204">
        <v>208.714743022943</v>
      </c>
      <c r="AB204">
        <v>17934</v>
      </c>
      <c r="AC204" t="s">
        <v>86</v>
      </c>
      <c r="AD204">
        <v>1</v>
      </c>
      <c r="AE204" t="s">
        <v>42</v>
      </c>
      <c r="AF204" t="s">
        <v>296</v>
      </c>
    </row>
    <row r="205" spans="1:32" x14ac:dyDescent="0.2">
      <c r="A205" t="s">
        <v>292</v>
      </c>
      <c r="B205" t="s">
        <v>252</v>
      </c>
      <c r="C205" t="s">
        <v>34</v>
      </c>
      <c r="D205" t="s">
        <v>293</v>
      </c>
      <c r="E205" t="s">
        <v>248</v>
      </c>
      <c r="G205">
        <v>0.18318489200082999</v>
      </c>
      <c r="H205">
        <v>6.0942793270691896E-3</v>
      </c>
      <c r="I205">
        <v>3.3268460409069098E-2</v>
      </c>
      <c r="K205">
        <v>1836.95620854561</v>
      </c>
      <c r="L205">
        <v>65.342908728011594</v>
      </c>
      <c r="M205">
        <v>3.5571293656339403E-2</v>
      </c>
      <c r="O205" s="1">
        <v>45149.788449074076</v>
      </c>
      <c r="P205" s="1">
        <v>45149.788703703707</v>
      </c>
      <c r="U205" t="s">
        <v>38</v>
      </c>
      <c r="AC205" t="s">
        <v>86</v>
      </c>
      <c r="AD205">
        <v>1</v>
      </c>
      <c r="AE205" t="s">
        <v>42</v>
      </c>
    </row>
    <row r="206" spans="1:32" x14ac:dyDescent="0.2">
      <c r="A206" t="s">
        <v>297</v>
      </c>
      <c r="B206" t="s">
        <v>252</v>
      </c>
      <c r="C206" t="s">
        <v>34</v>
      </c>
      <c r="D206" t="s">
        <v>298</v>
      </c>
      <c r="E206" t="s">
        <v>248</v>
      </c>
      <c r="F206">
        <v>0.53098316027072201</v>
      </c>
      <c r="J206">
        <v>5834.3365154184203</v>
      </c>
      <c r="O206" s="1">
        <v>45149.788969907408</v>
      </c>
      <c r="P206" s="1">
        <v>45149.789224537039</v>
      </c>
      <c r="Q206" t="s">
        <v>37</v>
      </c>
      <c r="R206">
        <v>60803</v>
      </c>
      <c r="S206">
        <v>1</v>
      </c>
      <c r="T206" t="s">
        <v>299</v>
      </c>
      <c r="U206" t="s">
        <v>38</v>
      </c>
      <c r="V206">
        <v>0.80522653242522901</v>
      </c>
      <c r="W206">
        <v>196.194839254046</v>
      </c>
      <c r="X206" t="s">
        <v>80</v>
      </c>
      <c r="Y206" t="s">
        <v>154</v>
      </c>
      <c r="Z206">
        <v>1</v>
      </c>
      <c r="AA206">
        <v>129.37496664715599</v>
      </c>
      <c r="AB206">
        <v>13508</v>
      </c>
      <c r="AC206" t="s">
        <v>86</v>
      </c>
      <c r="AD206">
        <v>1</v>
      </c>
      <c r="AE206" t="s">
        <v>42</v>
      </c>
      <c r="AF206" t="s">
        <v>300</v>
      </c>
    </row>
    <row r="207" spans="1:32" x14ac:dyDescent="0.2">
      <c r="A207" t="s">
        <v>297</v>
      </c>
      <c r="B207" t="s">
        <v>252</v>
      </c>
      <c r="C207" t="s">
        <v>34</v>
      </c>
      <c r="D207" t="s">
        <v>298</v>
      </c>
      <c r="E207" t="s">
        <v>248</v>
      </c>
      <c r="F207">
        <v>0.56070750240521405</v>
      </c>
      <c r="J207">
        <v>6202.9944738739296</v>
      </c>
      <c r="O207" s="1">
        <v>45149.789490740739</v>
      </c>
      <c r="P207" s="1">
        <v>45149.78974537037</v>
      </c>
      <c r="Q207" t="s">
        <v>37</v>
      </c>
      <c r="R207">
        <v>60804</v>
      </c>
      <c r="S207">
        <v>1</v>
      </c>
      <c r="T207" t="s">
        <v>299</v>
      </c>
      <c r="U207" t="s">
        <v>38</v>
      </c>
      <c r="V207">
        <v>0.83018501746668405</v>
      </c>
      <c r="W207">
        <v>196.194839254046</v>
      </c>
      <c r="X207" t="s">
        <v>80</v>
      </c>
      <c r="Y207" t="s">
        <v>154</v>
      </c>
      <c r="Z207">
        <v>1</v>
      </c>
      <c r="AA207">
        <v>132.51012242863499</v>
      </c>
      <c r="AB207">
        <v>15458</v>
      </c>
      <c r="AC207" t="s">
        <v>86</v>
      </c>
      <c r="AD207">
        <v>1</v>
      </c>
      <c r="AE207" t="s">
        <v>42</v>
      </c>
      <c r="AF207" t="s">
        <v>301</v>
      </c>
    </row>
    <row r="208" spans="1:32" x14ac:dyDescent="0.2">
      <c r="A208" t="s">
        <v>297</v>
      </c>
      <c r="B208" t="s">
        <v>252</v>
      </c>
      <c r="C208" t="s">
        <v>34</v>
      </c>
      <c r="D208" t="s">
        <v>298</v>
      </c>
      <c r="E208" t="s">
        <v>248</v>
      </c>
      <c r="F208">
        <v>0.54430509518690795</v>
      </c>
      <c r="J208">
        <v>5998.99786562593</v>
      </c>
      <c r="O208" s="1">
        <v>45149.790011574078</v>
      </c>
      <c r="P208" s="1">
        <v>45149.790254629632</v>
      </c>
      <c r="Q208" t="s">
        <v>37</v>
      </c>
      <c r="R208">
        <v>60805</v>
      </c>
      <c r="S208">
        <v>1</v>
      </c>
      <c r="T208" t="s">
        <v>299</v>
      </c>
      <c r="U208" t="s">
        <v>38</v>
      </c>
      <c r="V208">
        <v>0.82358640736383104</v>
      </c>
      <c r="W208">
        <v>196.194839254046</v>
      </c>
      <c r="X208" t="s">
        <v>80</v>
      </c>
      <c r="Y208" t="s">
        <v>154</v>
      </c>
      <c r="Z208">
        <v>1</v>
      </c>
      <c r="AA208">
        <v>129.66441614447101</v>
      </c>
      <c r="AB208">
        <v>14449</v>
      </c>
      <c r="AC208" t="s">
        <v>86</v>
      </c>
      <c r="AD208">
        <v>1</v>
      </c>
      <c r="AE208" t="s">
        <v>42</v>
      </c>
      <c r="AF208" t="s">
        <v>302</v>
      </c>
    </row>
    <row r="209" spans="1:32" x14ac:dyDescent="0.2">
      <c r="A209" t="s">
        <v>297</v>
      </c>
      <c r="B209" t="s">
        <v>252</v>
      </c>
      <c r="C209" t="s">
        <v>34</v>
      </c>
      <c r="D209" t="s">
        <v>298</v>
      </c>
      <c r="E209" t="s">
        <v>248</v>
      </c>
      <c r="G209">
        <v>0.54533191928761504</v>
      </c>
      <c r="H209">
        <v>1.48887509426558E-2</v>
      </c>
      <c r="I209">
        <v>2.7302181324917602E-2</v>
      </c>
      <c r="K209" t="s">
        <v>46</v>
      </c>
      <c r="L209" t="s">
        <v>46</v>
      </c>
      <c r="M209" t="s">
        <v>46</v>
      </c>
      <c r="O209" s="1">
        <v>45149.790011574078</v>
      </c>
      <c r="P209" s="1">
        <v>45149.790254629632</v>
      </c>
      <c r="U209" t="s">
        <v>38</v>
      </c>
      <c r="AC209" t="s">
        <v>86</v>
      </c>
      <c r="AD209">
        <v>1</v>
      </c>
      <c r="AE209" t="s">
        <v>42</v>
      </c>
    </row>
    <row r="210" spans="1:32" x14ac:dyDescent="0.2">
      <c r="A210" t="s">
        <v>303</v>
      </c>
      <c r="B210" t="s">
        <v>252</v>
      </c>
      <c r="C210" t="s">
        <v>34</v>
      </c>
      <c r="D210" t="s">
        <v>304</v>
      </c>
      <c r="E210" t="s">
        <v>248</v>
      </c>
      <c r="F210" t="s">
        <v>46</v>
      </c>
      <c r="J210" t="s">
        <v>46</v>
      </c>
      <c r="O210" s="1">
        <v>45149.790532407409</v>
      </c>
      <c r="P210" s="1">
        <v>45149.790775462963</v>
      </c>
      <c r="Q210" t="s">
        <v>37</v>
      </c>
      <c r="R210">
        <v>60806</v>
      </c>
      <c r="S210">
        <v>4</v>
      </c>
      <c r="T210" t="s">
        <v>305</v>
      </c>
      <c r="U210" t="s">
        <v>38</v>
      </c>
      <c r="V210" t="s">
        <v>46</v>
      </c>
      <c r="W210">
        <v>196.194839254046</v>
      </c>
      <c r="X210" t="s">
        <v>80</v>
      </c>
      <c r="Y210" t="s">
        <v>55</v>
      </c>
      <c r="Z210" t="s">
        <v>46</v>
      </c>
      <c r="AA210" t="s">
        <v>46</v>
      </c>
      <c r="AB210" t="s">
        <v>46</v>
      </c>
      <c r="AC210" t="s">
        <v>86</v>
      </c>
      <c r="AD210">
        <v>1</v>
      </c>
      <c r="AE210" t="s">
        <v>42</v>
      </c>
    </row>
    <row r="211" spans="1:32" x14ac:dyDescent="0.2">
      <c r="A211" t="s">
        <v>303</v>
      </c>
      <c r="B211" t="s">
        <v>252</v>
      </c>
      <c r="C211" t="s">
        <v>34</v>
      </c>
      <c r="D211" t="s">
        <v>304</v>
      </c>
      <c r="E211" t="s">
        <v>248</v>
      </c>
      <c r="F211">
        <v>1.27978663116678</v>
      </c>
      <c r="J211">
        <v>16761.775705684799</v>
      </c>
      <c r="O211" s="1">
        <v>45149.79105324074</v>
      </c>
      <c r="P211" s="1">
        <v>45149.791296296295</v>
      </c>
      <c r="Q211" t="s">
        <v>37</v>
      </c>
      <c r="R211">
        <v>60807</v>
      </c>
      <c r="S211">
        <v>1</v>
      </c>
      <c r="T211" t="s">
        <v>299</v>
      </c>
      <c r="U211" t="s">
        <v>38</v>
      </c>
      <c r="V211">
        <v>0.998437255821222</v>
      </c>
      <c r="W211">
        <v>196.194839254046</v>
      </c>
      <c r="X211" t="s">
        <v>80</v>
      </c>
      <c r="Y211" t="s">
        <v>154</v>
      </c>
      <c r="Z211">
        <v>1</v>
      </c>
      <c r="AA211">
        <v>251.48053211888799</v>
      </c>
      <c r="AB211">
        <v>12798</v>
      </c>
      <c r="AC211" t="s">
        <v>86</v>
      </c>
      <c r="AD211">
        <v>1</v>
      </c>
      <c r="AE211" t="s">
        <v>42</v>
      </c>
      <c r="AF211" t="s">
        <v>306</v>
      </c>
    </row>
    <row r="212" spans="1:32" x14ac:dyDescent="0.2">
      <c r="A212" t="s">
        <v>303</v>
      </c>
      <c r="B212" t="s">
        <v>252</v>
      </c>
      <c r="C212" t="s">
        <v>34</v>
      </c>
      <c r="D212" t="s">
        <v>304</v>
      </c>
      <c r="E212" t="s">
        <v>248</v>
      </c>
      <c r="F212">
        <v>1.27211601197325</v>
      </c>
      <c r="J212">
        <v>16629.519649285299</v>
      </c>
      <c r="O212" s="1">
        <v>45149.791574074072</v>
      </c>
      <c r="P212" s="1">
        <v>45149.791828703703</v>
      </c>
      <c r="Q212" t="s">
        <v>37</v>
      </c>
      <c r="R212">
        <v>60808</v>
      </c>
      <c r="S212">
        <v>1</v>
      </c>
      <c r="T212" t="s">
        <v>299</v>
      </c>
      <c r="U212" t="s">
        <v>38</v>
      </c>
      <c r="V212">
        <v>0.99748446285883396</v>
      </c>
      <c r="W212">
        <v>196.194839254046</v>
      </c>
      <c r="X212" t="s">
        <v>80</v>
      </c>
      <c r="Y212" t="s">
        <v>154</v>
      </c>
      <c r="Z212">
        <v>1</v>
      </c>
      <c r="AA212">
        <v>250.21201409621401</v>
      </c>
      <c r="AB212">
        <v>13516</v>
      </c>
      <c r="AC212" t="s">
        <v>86</v>
      </c>
      <c r="AD212">
        <v>1</v>
      </c>
      <c r="AE212" t="s">
        <v>42</v>
      </c>
      <c r="AF212" t="s">
        <v>307</v>
      </c>
    </row>
    <row r="213" spans="1:32" x14ac:dyDescent="0.2">
      <c r="A213" t="s">
        <v>303</v>
      </c>
      <c r="B213" t="s">
        <v>252</v>
      </c>
      <c r="C213" t="s">
        <v>34</v>
      </c>
      <c r="D213" t="s">
        <v>304</v>
      </c>
      <c r="E213" t="s">
        <v>248</v>
      </c>
      <c r="G213">
        <v>1.27595132157001</v>
      </c>
      <c r="H213">
        <v>5.4239468476496699E-3</v>
      </c>
      <c r="I213">
        <v>4.2509042123767601E-3</v>
      </c>
      <c r="K213" t="s">
        <v>46</v>
      </c>
      <c r="L213" t="s">
        <v>46</v>
      </c>
      <c r="M213" t="s">
        <v>46</v>
      </c>
      <c r="O213" s="1">
        <v>45149.791574074072</v>
      </c>
      <c r="P213" s="1">
        <v>45149.791828703703</v>
      </c>
      <c r="U213" t="s">
        <v>38</v>
      </c>
      <c r="AC213" t="s">
        <v>86</v>
      </c>
      <c r="AD213">
        <v>1</v>
      </c>
      <c r="AE213" t="s">
        <v>42</v>
      </c>
    </row>
    <row r="214" spans="1:32" x14ac:dyDescent="0.2">
      <c r="A214" t="s">
        <v>308</v>
      </c>
      <c r="B214" t="s">
        <v>252</v>
      </c>
      <c r="C214" t="s">
        <v>34</v>
      </c>
      <c r="D214" t="s">
        <v>309</v>
      </c>
      <c r="E214" t="s">
        <v>248</v>
      </c>
      <c r="F214">
        <v>0.63292052662639597</v>
      </c>
      <c r="J214">
        <v>7117.99870795267</v>
      </c>
      <c r="O214" s="1">
        <v>45149.792094907411</v>
      </c>
      <c r="P214" s="1">
        <v>45149.792349537034</v>
      </c>
      <c r="Q214" t="s">
        <v>37</v>
      </c>
      <c r="R214">
        <v>60809</v>
      </c>
      <c r="S214">
        <v>1</v>
      </c>
      <c r="T214" t="s">
        <v>299</v>
      </c>
      <c r="U214" t="s">
        <v>38</v>
      </c>
      <c r="V214">
        <v>0.89818114784318503</v>
      </c>
      <c r="W214">
        <v>196.194839254046</v>
      </c>
      <c r="X214" t="s">
        <v>80</v>
      </c>
      <c r="Y214" t="s">
        <v>154</v>
      </c>
      <c r="Z214">
        <v>1</v>
      </c>
      <c r="AA214">
        <v>138.25244638037299</v>
      </c>
      <c r="AB214">
        <v>16274</v>
      </c>
      <c r="AC214" t="s">
        <v>86</v>
      </c>
      <c r="AD214">
        <v>1</v>
      </c>
      <c r="AE214" t="s">
        <v>42</v>
      </c>
      <c r="AF214" t="s">
        <v>310</v>
      </c>
    </row>
    <row r="215" spans="1:32" x14ac:dyDescent="0.2">
      <c r="A215" t="s">
        <v>308</v>
      </c>
      <c r="B215" t="s">
        <v>252</v>
      </c>
      <c r="C215" t="s">
        <v>34</v>
      </c>
      <c r="D215" t="s">
        <v>309</v>
      </c>
      <c r="E215" t="s">
        <v>248</v>
      </c>
      <c r="F215" t="s">
        <v>46</v>
      </c>
      <c r="J215" t="s">
        <v>46</v>
      </c>
      <c r="O215" s="1">
        <v>45149.792615740742</v>
      </c>
      <c r="P215" s="1">
        <v>45149.792870370373</v>
      </c>
      <c r="Q215" t="s">
        <v>37</v>
      </c>
      <c r="R215">
        <v>60810</v>
      </c>
      <c r="S215">
        <v>4</v>
      </c>
      <c r="T215" t="s">
        <v>305</v>
      </c>
      <c r="U215" t="s">
        <v>38</v>
      </c>
      <c r="V215" t="s">
        <v>46</v>
      </c>
      <c r="W215">
        <v>196.194839254046</v>
      </c>
      <c r="X215" t="s">
        <v>80</v>
      </c>
      <c r="Y215" t="s">
        <v>55</v>
      </c>
      <c r="Z215" t="s">
        <v>46</v>
      </c>
      <c r="AA215" t="s">
        <v>46</v>
      </c>
      <c r="AB215" t="s">
        <v>46</v>
      </c>
      <c r="AC215" t="s">
        <v>86</v>
      </c>
      <c r="AD215">
        <v>1</v>
      </c>
      <c r="AE215" t="s">
        <v>42</v>
      </c>
    </row>
    <row r="216" spans="1:32" x14ac:dyDescent="0.2">
      <c r="A216" t="s">
        <v>308</v>
      </c>
      <c r="B216" t="s">
        <v>252</v>
      </c>
      <c r="C216" t="s">
        <v>34</v>
      </c>
      <c r="D216" t="s">
        <v>309</v>
      </c>
      <c r="E216" t="s">
        <v>248</v>
      </c>
      <c r="F216">
        <v>0.57192818812857704</v>
      </c>
      <c r="J216">
        <v>6343.3539008317803</v>
      </c>
      <c r="O216" s="1">
        <v>45149.793136574073</v>
      </c>
      <c r="P216" s="1">
        <v>45149.793391203704</v>
      </c>
      <c r="Q216" t="s">
        <v>37</v>
      </c>
      <c r="R216">
        <v>60811</v>
      </c>
      <c r="S216">
        <v>1</v>
      </c>
      <c r="T216" t="s">
        <v>299</v>
      </c>
      <c r="U216" t="s">
        <v>38</v>
      </c>
      <c r="V216">
        <v>0.86737279875235596</v>
      </c>
      <c r="W216">
        <v>196.194839254046</v>
      </c>
      <c r="X216" t="s">
        <v>80</v>
      </c>
      <c r="Y216" t="s">
        <v>154</v>
      </c>
      <c r="Z216">
        <v>1</v>
      </c>
      <c r="AA216">
        <v>129.36693322196399</v>
      </c>
      <c r="AB216">
        <v>15389</v>
      </c>
      <c r="AC216" t="s">
        <v>86</v>
      </c>
      <c r="AD216">
        <v>1</v>
      </c>
      <c r="AE216" t="s">
        <v>42</v>
      </c>
      <c r="AF216" t="s">
        <v>311</v>
      </c>
    </row>
    <row r="217" spans="1:32" x14ac:dyDescent="0.2">
      <c r="A217" t="s">
        <v>308</v>
      </c>
      <c r="B217" t="s">
        <v>252</v>
      </c>
      <c r="C217" t="s">
        <v>34</v>
      </c>
      <c r="D217" t="s">
        <v>309</v>
      </c>
      <c r="E217" t="s">
        <v>248</v>
      </c>
      <c r="G217">
        <v>0.60242435737748701</v>
      </c>
      <c r="H217">
        <v>4.3128096152232898E-2</v>
      </c>
      <c r="I217">
        <v>7.1590890414824707E-2</v>
      </c>
      <c r="K217" t="s">
        <v>46</v>
      </c>
      <c r="L217" t="s">
        <v>46</v>
      </c>
      <c r="M217" t="s">
        <v>46</v>
      </c>
      <c r="O217" s="1">
        <v>45149.793136574073</v>
      </c>
      <c r="P217" s="1">
        <v>45149.793391203704</v>
      </c>
      <c r="U217" t="s">
        <v>38</v>
      </c>
      <c r="AC217" t="s">
        <v>86</v>
      </c>
      <c r="AD217">
        <v>1</v>
      </c>
      <c r="AE217" t="s">
        <v>42</v>
      </c>
    </row>
    <row r="218" spans="1:32" x14ac:dyDescent="0.2">
      <c r="A218" t="s">
        <v>312</v>
      </c>
      <c r="B218" t="s">
        <v>252</v>
      </c>
      <c r="C218" t="s">
        <v>34</v>
      </c>
      <c r="D218" t="s">
        <v>313</v>
      </c>
      <c r="E218" t="s">
        <v>248</v>
      </c>
      <c r="F218">
        <v>0.220889194622132</v>
      </c>
      <c r="J218">
        <v>2243.9079709480402</v>
      </c>
      <c r="O218" s="1">
        <v>45149.793657407405</v>
      </c>
      <c r="P218" s="1">
        <v>45149.793912037036</v>
      </c>
      <c r="Q218" t="s">
        <v>37</v>
      </c>
      <c r="R218">
        <v>60812</v>
      </c>
      <c r="S218">
        <v>0</v>
      </c>
      <c r="U218" t="s">
        <v>38</v>
      </c>
      <c r="V218">
        <v>0.19819448026824901</v>
      </c>
      <c r="W218">
        <v>196.194839254046</v>
      </c>
      <c r="X218" t="s">
        <v>39</v>
      </c>
      <c r="Y218" t="s">
        <v>40</v>
      </c>
      <c r="Z218">
        <v>1</v>
      </c>
      <c r="AA218">
        <v>206.650898219673</v>
      </c>
      <c r="AB218">
        <v>19385</v>
      </c>
      <c r="AC218" t="s">
        <v>86</v>
      </c>
      <c r="AD218">
        <v>1</v>
      </c>
      <c r="AE218" t="s">
        <v>42</v>
      </c>
      <c r="AF218" t="s">
        <v>314</v>
      </c>
    </row>
    <row r="219" spans="1:32" x14ac:dyDescent="0.2">
      <c r="A219" t="s">
        <v>312</v>
      </c>
      <c r="B219" t="s">
        <v>252</v>
      </c>
      <c r="C219" t="s">
        <v>34</v>
      </c>
      <c r="D219" t="s">
        <v>313</v>
      </c>
      <c r="E219" t="s">
        <v>248</v>
      </c>
      <c r="F219">
        <v>0.22543687811295801</v>
      </c>
      <c r="J219">
        <v>2293.4072793529399</v>
      </c>
      <c r="O219" s="1">
        <v>45149.794178240743</v>
      </c>
      <c r="P219" s="1">
        <v>45149.794432870367</v>
      </c>
      <c r="Q219" t="s">
        <v>37</v>
      </c>
      <c r="R219">
        <v>60813</v>
      </c>
      <c r="S219">
        <v>0</v>
      </c>
      <c r="U219" t="s">
        <v>38</v>
      </c>
      <c r="V219">
        <v>0.201832559307142</v>
      </c>
      <c r="W219">
        <v>196.194839254046</v>
      </c>
      <c r="X219" t="s">
        <v>39</v>
      </c>
      <c r="Y219" t="s">
        <v>40</v>
      </c>
      <c r="Z219">
        <v>1</v>
      </c>
      <c r="AA219">
        <v>212.497319844647</v>
      </c>
      <c r="AB219">
        <v>15934</v>
      </c>
      <c r="AC219" t="s">
        <v>86</v>
      </c>
      <c r="AD219">
        <v>1</v>
      </c>
      <c r="AE219" t="s">
        <v>42</v>
      </c>
      <c r="AF219" t="s">
        <v>315</v>
      </c>
    </row>
    <row r="220" spans="1:32" x14ac:dyDescent="0.2">
      <c r="A220" t="s">
        <v>312</v>
      </c>
      <c r="B220" t="s">
        <v>252</v>
      </c>
      <c r="C220" t="s">
        <v>34</v>
      </c>
      <c r="D220" t="s">
        <v>313</v>
      </c>
      <c r="E220" t="s">
        <v>248</v>
      </c>
      <c r="F220">
        <v>0.22217036784639899</v>
      </c>
      <c r="J220">
        <v>2257.84395036162</v>
      </c>
      <c r="O220" s="1">
        <v>45149.794699074075</v>
      </c>
      <c r="P220" s="1">
        <v>45149.794942129629</v>
      </c>
      <c r="Q220" t="s">
        <v>37</v>
      </c>
      <c r="R220">
        <v>60814</v>
      </c>
      <c r="S220">
        <v>0</v>
      </c>
      <c r="U220" t="s">
        <v>38</v>
      </c>
      <c r="V220">
        <v>0.19922107426840499</v>
      </c>
      <c r="W220">
        <v>196.194839254046</v>
      </c>
      <c r="X220" t="s">
        <v>39</v>
      </c>
      <c r="Y220" t="s">
        <v>40</v>
      </c>
      <c r="Z220">
        <v>1</v>
      </c>
      <c r="AA220">
        <v>212.467487241448</v>
      </c>
      <c r="AB220">
        <v>18487</v>
      </c>
      <c r="AC220" t="s">
        <v>86</v>
      </c>
      <c r="AD220">
        <v>1</v>
      </c>
      <c r="AE220" t="s">
        <v>42</v>
      </c>
      <c r="AF220" t="s">
        <v>316</v>
      </c>
    </row>
    <row r="221" spans="1:32" x14ac:dyDescent="0.2">
      <c r="A221" t="s">
        <v>312</v>
      </c>
      <c r="B221" t="s">
        <v>252</v>
      </c>
      <c r="C221" t="s">
        <v>34</v>
      </c>
      <c r="D221" t="s">
        <v>313</v>
      </c>
      <c r="E221" t="s">
        <v>248</v>
      </c>
      <c r="G221">
        <v>0.22283214686049599</v>
      </c>
      <c r="H221">
        <v>2.3449562641569598E-3</v>
      </c>
      <c r="I221">
        <v>1.05234199696735E-2</v>
      </c>
      <c r="K221">
        <v>2265.0530668875299</v>
      </c>
      <c r="L221">
        <v>25.524966287028398</v>
      </c>
      <c r="M221">
        <v>1.1269036765705001E-2</v>
      </c>
      <c r="O221" s="1">
        <v>45149.794699074075</v>
      </c>
      <c r="P221" s="1">
        <v>45149.794942129629</v>
      </c>
      <c r="U221" t="s">
        <v>38</v>
      </c>
      <c r="AC221" t="s">
        <v>86</v>
      </c>
      <c r="AD221">
        <v>1</v>
      </c>
      <c r="AE221" t="s">
        <v>42</v>
      </c>
    </row>
    <row r="222" spans="1:32" x14ac:dyDescent="0.2">
      <c r="A222" t="s">
        <v>317</v>
      </c>
      <c r="B222" t="s">
        <v>252</v>
      </c>
      <c r="C222" t="s">
        <v>34</v>
      </c>
      <c r="D222" t="s">
        <v>318</v>
      </c>
      <c r="E222" t="s">
        <v>248</v>
      </c>
      <c r="F222">
        <v>0.33193626942883597</v>
      </c>
      <c r="J222">
        <v>3478.4452284264698</v>
      </c>
      <c r="O222" s="1">
        <v>45149.795219907406</v>
      </c>
      <c r="P222" s="1">
        <v>45149.795474537037</v>
      </c>
      <c r="Q222" t="s">
        <v>37</v>
      </c>
      <c r="R222">
        <v>60815</v>
      </c>
      <c r="S222">
        <v>0</v>
      </c>
      <c r="U222" t="s">
        <v>38</v>
      </c>
      <c r="V222">
        <v>0.282466949811569</v>
      </c>
      <c r="W222">
        <v>196.194839254046</v>
      </c>
      <c r="X222" t="s">
        <v>39</v>
      </c>
      <c r="Y222" t="s">
        <v>40</v>
      </c>
      <c r="Z222">
        <v>1</v>
      </c>
      <c r="AA222">
        <v>172.62775554076401</v>
      </c>
      <c r="AB222">
        <v>16717</v>
      </c>
      <c r="AC222" t="s">
        <v>86</v>
      </c>
      <c r="AD222">
        <v>1</v>
      </c>
      <c r="AE222" t="s">
        <v>42</v>
      </c>
      <c r="AF222" t="s">
        <v>319</v>
      </c>
    </row>
    <row r="223" spans="1:32" x14ac:dyDescent="0.2">
      <c r="A223" t="s">
        <v>317</v>
      </c>
      <c r="B223" t="s">
        <v>252</v>
      </c>
      <c r="C223" t="s">
        <v>34</v>
      </c>
      <c r="D223" t="s">
        <v>318</v>
      </c>
      <c r="E223" t="s">
        <v>248</v>
      </c>
      <c r="F223">
        <v>0.37416905210073498</v>
      </c>
      <c r="J223">
        <v>3962.5027030080701</v>
      </c>
      <c r="O223" s="1">
        <v>45149.795740740738</v>
      </c>
      <c r="P223" s="1">
        <v>45149.795995370368</v>
      </c>
      <c r="Q223" t="s">
        <v>37</v>
      </c>
      <c r="R223">
        <v>60816</v>
      </c>
      <c r="S223">
        <v>0</v>
      </c>
      <c r="U223" t="s">
        <v>38</v>
      </c>
      <c r="V223">
        <v>0.31213938228306398</v>
      </c>
      <c r="W223">
        <v>196.194839254046</v>
      </c>
      <c r="X223" t="s">
        <v>39</v>
      </c>
      <c r="Y223" t="s">
        <v>40</v>
      </c>
      <c r="Z223">
        <v>1</v>
      </c>
      <c r="AA223">
        <v>167.59514808732101</v>
      </c>
      <c r="AB223">
        <v>17678</v>
      </c>
      <c r="AC223" t="s">
        <v>86</v>
      </c>
      <c r="AD223">
        <v>1</v>
      </c>
      <c r="AE223" t="s">
        <v>42</v>
      </c>
      <c r="AF223" t="s">
        <v>320</v>
      </c>
    </row>
    <row r="224" spans="1:32" x14ac:dyDescent="0.2">
      <c r="A224" t="s">
        <v>317</v>
      </c>
      <c r="B224" t="s">
        <v>252</v>
      </c>
      <c r="C224" t="s">
        <v>34</v>
      </c>
      <c r="D224" t="s">
        <v>318</v>
      </c>
      <c r="E224" t="s">
        <v>248</v>
      </c>
      <c r="F224">
        <v>0.34791927482900198</v>
      </c>
      <c r="J224">
        <v>3660.67130768878</v>
      </c>
      <c r="O224" s="1">
        <v>45149.796261574076</v>
      </c>
      <c r="P224" s="1">
        <v>45149.796516203707</v>
      </c>
      <c r="Q224" t="s">
        <v>37</v>
      </c>
      <c r="R224">
        <v>60817</v>
      </c>
      <c r="S224">
        <v>0</v>
      </c>
      <c r="U224" t="s">
        <v>38</v>
      </c>
      <c r="V224">
        <v>0.293844121532365</v>
      </c>
      <c r="W224">
        <v>196.194839254046</v>
      </c>
      <c r="X224" t="s">
        <v>39</v>
      </c>
      <c r="Y224" t="s">
        <v>40</v>
      </c>
      <c r="Z224">
        <v>1</v>
      </c>
      <c r="AA224">
        <v>174.104534317938</v>
      </c>
      <c r="AB224">
        <v>18925</v>
      </c>
      <c r="AC224" t="s">
        <v>86</v>
      </c>
      <c r="AD224">
        <v>1</v>
      </c>
      <c r="AE224" t="s">
        <v>42</v>
      </c>
      <c r="AF224" t="s">
        <v>321</v>
      </c>
    </row>
    <row r="225" spans="1:32" x14ac:dyDescent="0.2">
      <c r="A225" t="s">
        <v>317</v>
      </c>
      <c r="B225" t="s">
        <v>252</v>
      </c>
      <c r="C225" t="s">
        <v>34</v>
      </c>
      <c r="D225" t="s">
        <v>318</v>
      </c>
      <c r="E225" t="s">
        <v>248</v>
      </c>
      <c r="G225">
        <v>0.35134153211952501</v>
      </c>
      <c r="H225">
        <v>2.1323364339964498E-2</v>
      </c>
      <c r="I225">
        <v>6.0691271570793001E-2</v>
      </c>
      <c r="K225">
        <v>3700.5397463744398</v>
      </c>
      <c r="L225">
        <v>244.479097218969</v>
      </c>
      <c r="M225">
        <v>6.6065794174618497E-2</v>
      </c>
      <c r="O225" s="1">
        <v>45149.796261574076</v>
      </c>
      <c r="P225" s="1">
        <v>45149.796516203707</v>
      </c>
      <c r="U225" t="s">
        <v>38</v>
      </c>
      <c r="AC225" t="s">
        <v>86</v>
      </c>
      <c r="AD225">
        <v>1</v>
      </c>
      <c r="AE225" t="s">
        <v>42</v>
      </c>
    </row>
    <row r="226" spans="1:32" x14ac:dyDescent="0.2">
      <c r="A226" t="s">
        <v>322</v>
      </c>
      <c r="B226" t="s">
        <v>252</v>
      </c>
      <c r="C226" t="s">
        <v>34</v>
      </c>
      <c r="D226" t="s">
        <v>323</v>
      </c>
      <c r="E226" t="s">
        <v>248</v>
      </c>
      <c r="F226">
        <v>0.20108734171101</v>
      </c>
      <c r="J226">
        <v>2029.4034426840799</v>
      </c>
      <c r="O226" s="1">
        <v>45149.799386574072</v>
      </c>
      <c r="P226" s="1">
        <v>45149.799629629626</v>
      </c>
      <c r="Q226" t="s">
        <v>37</v>
      </c>
      <c r="R226">
        <v>60818</v>
      </c>
      <c r="S226">
        <v>0</v>
      </c>
      <c r="U226" t="s">
        <v>38</v>
      </c>
      <c r="V226">
        <v>0.182159003197706</v>
      </c>
      <c r="W226">
        <v>196.194839254046</v>
      </c>
      <c r="X226" t="s">
        <v>39</v>
      </c>
      <c r="Y226" t="s">
        <v>40</v>
      </c>
      <c r="Z226">
        <v>1</v>
      </c>
      <c r="AA226">
        <v>217.003532799883</v>
      </c>
      <c r="AB226">
        <v>18138</v>
      </c>
      <c r="AC226" t="s">
        <v>86</v>
      </c>
      <c r="AD226">
        <v>1</v>
      </c>
      <c r="AE226" t="s">
        <v>42</v>
      </c>
      <c r="AF226" t="s">
        <v>324</v>
      </c>
    </row>
    <row r="227" spans="1:32" x14ac:dyDescent="0.2">
      <c r="A227" t="s">
        <v>322</v>
      </c>
      <c r="B227" t="s">
        <v>252</v>
      </c>
      <c r="C227" t="s">
        <v>34</v>
      </c>
      <c r="D227" t="s">
        <v>323</v>
      </c>
      <c r="E227" t="s">
        <v>248</v>
      </c>
      <c r="F227">
        <v>0.20736786278879399</v>
      </c>
      <c r="J227">
        <v>2097.2568413594699</v>
      </c>
      <c r="O227" s="1">
        <v>45149.799907407411</v>
      </c>
      <c r="P227" s="1">
        <v>45149.800150462965</v>
      </c>
      <c r="Q227" t="s">
        <v>37</v>
      </c>
      <c r="R227">
        <v>60819</v>
      </c>
      <c r="S227">
        <v>0</v>
      </c>
      <c r="U227" t="s">
        <v>38</v>
      </c>
      <c r="V227">
        <v>0.187279374684821</v>
      </c>
      <c r="W227">
        <v>196.194839254046</v>
      </c>
      <c r="X227" t="s">
        <v>39</v>
      </c>
      <c r="Y227" t="s">
        <v>40</v>
      </c>
      <c r="Z227">
        <v>1</v>
      </c>
      <c r="AA227">
        <v>215.75123844585099</v>
      </c>
      <c r="AB227">
        <v>15864</v>
      </c>
      <c r="AC227" t="s">
        <v>86</v>
      </c>
      <c r="AD227">
        <v>1</v>
      </c>
      <c r="AE227" t="s">
        <v>42</v>
      </c>
      <c r="AF227" t="s">
        <v>325</v>
      </c>
    </row>
    <row r="228" spans="1:32" x14ac:dyDescent="0.2">
      <c r="A228" t="s">
        <v>322</v>
      </c>
      <c r="B228" t="s">
        <v>252</v>
      </c>
      <c r="C228" t="s">
        <v>34</v>
      </c>
      <c r="D228" t="s">
        <v>323</v>
      </c>
      <c r="E228" t="s">
        <v>248</v>
      </c>
      <c r="F228">
        <v>0.19948029493179301</v>
      </c>
      <c r="J228">
        <v>2012.0681194163401</v>
      </c>
      <c r="O228" s="1">
        <v>45149.800428240742</v>
      </c>
      <c r="P228" s="1">
        <v>45149.800682870373</v>
      </c>
      <c r="Q228" t="s">
        <v>37</v>
      </c>
      <c r="R228">
        <v>60820</v>
      </c>
      <c r="S228">
        <v>0</v>
      </c>
      <c r="U228" t="s">
        <v>38</v>
      </c>
      <c r="V228">
        <v>0.18084363781412</v>
      </c>
      <c r="W228">
        <v>196.194839254046</v>
      </c>
      <c r="X228" t="s">
        <v>39</v>
      </c>
      <c r="Y228" t="s">
        <v>40</v>
      </c>
      <c r="Z228">
        <v>1</v>
      </c>
      <c r="AA228">
        <v>225.16870501855001</v>
      </c>
      <c r="AB228">
        <v>20056</v>
      </c>
      <c r="AC228" t="s">
        <v>86</v>
      </c>
      <c r="AD228">
        <v>1</v>
      </c>
      <c r="AE228" t="s">
        <v>42</v>
      </c>
      <c r="AF228" t="s">
        <v>326</v>
      </c>
    </row>
    <row r="229" spans="1:32" x14ac:dyDescent="0.2">
      <c r="A229" t="s">
        <v>322</v>
      </c>
      <c r="B229" t="s">
        <v>252</v>
      </c>
      <c r="C229" t="s">
        <v>34</v>
      </c>
      <c r="D229" t="s">
        <v>323</v>
      </c>
      <c r="E229" t="s">
        <v>248</v>
      </c>
      <c r="G229">
        <v>0.20264516647719899</v>
      </c>
      <c r="H229">
        <v>4.1681584874277196E-3</v>
      </c>
      <c r="I229">
        <v>2.0568753550293601E-2</v>
      </c>
      <c r="K229">
        <v>2046.2428011533</v>
      </c>
      <c r="L229">
        <v>45.021690126174697</v>
      </c>
      <c r="M229">
        <v>2.20021251147712E-2</v>
      </c>
      <c r="O229" s="1">
        <v>45149.800428240742</v>
      </c>
      <c r="P229" s="1">
        <v>45149.800682870373</v>
      </c>
      <c r="U229" t="s">
        <v>38</v>
      </c>
      <c r="AC229" t="s">
        <v>86</v>
      </c>
      <c r="AD229">
        <v>1</v>
      </c>
      <c r="AE229" t="s">
        <v>42</v>
      </c>
    </row>
    <row r="230" spans="1:32" x14ac:dyDescent="0.2">
      <c r="A230" t="s">
        <v>327</v>
      </c>
      <c r="B230" t="s">
        <v>252</v>
      </c>
      <c r="C230" t="s">
        <v>34</v>
      </c>
      <c r="D230" t="s">
        <v>328</v>
      </c>
      <c r="E230" t="s">
        <v>248</v>
      </c>
      <c r="F230">
        <v>0.22138524965068601</v>
      </c>
      <c r="J230">
        <v>2249.3029827588398</v>
      </c>
      <c r="O230" s="1">
        <v>45149.800949074073</v>
      </c>
      <c r="P230" s="1">
        <v>45149.801203703704</v>
      </c>
      <c r="Q230" t="s">
        <v>37</v>
      </c>
      <c r="R230">
        <v>60821</v>
      </c>
      <c r="S230">
        <v>0</v>
      </c>
      <c r="U230" t="s">
        <v>38</v>
      </c>
      <c r="V230">
        <v>0.19859212129416501</v>
      </c>
      <c r="W230">
        <v>196.194839254046</v>
      </c>
      <c r="X230" t="s">
        <v>39</v>
      </c>
      <c r="Y230" t="s">
        <v>40</v>
      </c>
      <c r="Z230">
        <v>1</v>
      </c>
      <c r="AA230">
        <v>232.69250152113</v>
      </c>
      <c r="AB230">
        <v>14774</v>
      </c>
      <c r="AC230" t="s">
        <v>86</v>
      </c>
      <c r="AD230">
        <v>1</v>
      </c>
      <c r="AE230" t="s">
        <v>42</v>
      </c>
      <c r="AF230" t="s">
        <v>329</v>
      </c>
    </row>
    <row r="231" spans="1:32" x14ac:dyDescent="0.2">
      <c r="A231" t="s">
        <v>327</v>
      </c>
      <c r="B231" t="s">
        <v>252</v>
      </c>
      <c r="C231" t="s">
        <v>34</v>
      </c>
      <c r="D231" t="s">
        <v>328</v>
      </c>
      <c r="E231" t="s">
        <v>248</v>
      </c>
      <c r="F231">
        <v>0.230839649134746</v>
      </c>
      <c r="J231">
        <v>2352.3291246682502</v>
      </c>
      <c r="O231" s="1">
        <v>45149.801469907405</v>
      </c>
      <c r="P231" s="1">
        <v>45149.801724537036</v>
      </c>
      <c r="Q231" t="s">
        <v>37</v>
      </c>
      <c r="R231">
        <v>60822</v>
      </c>
      <c r="S231">
        <v>0</v>
      </c>
      <c r="U231" t="s">
        <v>38</v>
      </c>
      <c r="V231">
        <v>0.206133246949573</v>
      </c>
      <c r="W231">
        <v>196.194839254046</v>
      </c>
      <c r="X231" t="s">
        <v>39</v>
      </c>
      <c r="Y231" t="s">
        <v>40</v>
      </c>
      <c r="Z231">
        <v>1</v>
      </c>
      <c r="AA231">
        <v>226.30915472978501</v>
      </c>
      <c r="AB231">
        <v>18522</v>
      </c>
      <c r="AC231" t="s">
        <v>86</v>
      </c>
      <c r="AD231">
        <v>1</v>
      </c>
      <c r="AE231" t="s">
        <v>42</v>
      </c>
      <c r="AF231" t="s">
        <v>330</v>
      </c>
    </row>
    <row r="232" spans="1:32" x14ac:dyDescent="0.2">
      <c r="A232" t="s">
        <v>327</v>
      </c>
      <c r="B232" t="s">
        <v>252</v>
      </c>
      <c r="C232" t="s">
        <v>34</v>
      </c>
      <c r="D232" t="s">
        <v>328</v>
      </c>
      <c r="E232" t="s">
        <v>248</v>
      </c>
      <c r="F232">
        <v>0.22211819333503499</v>
      </c>
      <c r="J232">
        <v>2257.2762841296499</v>
      </c>
      <c r="O232" s="1">
        <v>45149.801990740743</v>
      </c>
      <c r="P232" s="1">
        <v>45149.802233796298</v>
      </c>
      <c r="Q232" t="s">
        <v>37</v>
      </c>
      <c r="R232">
        <v>60823</v>
      </c>
      <c r="S232">
        <v>0</v>
      </c>
      <c r="U232" t="s">
        <v>38</v>
      </c>
      <c r="V232">
        <v>0.19917929292929301</v>
      </c>
      <c r="W232">
        <v>196.194839254046</v>
      </c>
      <c r="X232" t="s">
        <v>39</v>
      </c>
      <c r="Y232" t="s">
        <v>40</v>
      </c>
      <c r="Z232">
        <v>1</v>
      </c>
      <c r="AA232">
        <v>224.95963173775601</v>
      </c>
      <c r="AB232">
        <v>19008</v>
      </c>
      <c r="AC232" t="s">
        <v>86</v>
      </c>
      <c r="AD232">
        <v>1</v>
      </c>
      <c r="AE232" t="s">
        <v>42</v>
      </c>
      <c r="AF232" t="s">
        <v>331</v>
      </c>
    </row>
    <row r="233" spans="1:32" x14ac:dyDescent="0.2">
      <c r="A233" t="s">
        <v>327</v>
      </c>
      <c r="B233" t="s">
        <v>252</v>
      </c>
      <c r="C233" t="s">
        <v>34</v>
      </c>
      <c r="D233" t="s">
        <v>328</v>
      </c>
      <c r="E233" t="s">
        <v>248</v>
      </c>
      <c r="G233">
        <v>0.22478103070682201</v>
      </c>
      <c r="H233">
        <v>5.2597000439652897E-3</v>
      </c>
      <c r="I233">
        <v>2.3399216684015602E-2</v>
      </c>
      <c r="K233">
        <v>2286.3027971855799</v>
      </c>
      <c r="L233">
        <v>57.319284052788198</v>
      </c>
      <c r="M233">
        <v>2.5070731717315799E-2</v>
      </c>
      <c r="O233" s="1">
        <v>45149.801990740743</v>
      </c>
      <c r="P233" s="1">
        <v>45149.802233796298</v>
      </c>
      <c r="U233" t="s">
        <v>38</v>
      </c>
      <c r="AC233" t="s">
        <v>86</v>
      </c>
      <c r="AD233">
        <v>1</v>
      </c>
      <c r="AE233" t="s">
        <v>42</v>
      </c>
    </row>
    <row r="234" spans="1:32" x14ac:dyDescent="0.2">
      <c r="A234" t="s">
        <v>332</v>
      </c>
      <c r="B234" t="s">
        <v>252</v>
      </c>
      <c r="C234" t="s">
        <v>34</v>
      </c>
      <c r="D234" t="s">
        <v>333</v>
      </c>
      <c r="E234" t="s">
        <v>248</v>
      </c>
      <c r="F234">
        <v>0.21169231418743301</v>
      </c>
      <c r="J234">
        <v>2144.0746852606198</v>
      </c>
      <c r="O234" s="1">
        <v>45149.802511574075</v>
      </c>
      <c r="P234" s="1">
        <v>45149.802754629629</v>
      </c>
      <c r="Q234" t="s">
        <v>37</v>
      </c>
      <c r="R234">
        <v>60824</v>
      </c>
      <c r="S234">
        <v>0</v>
      </c>
      <c r="U234" t="s">
        <v>38</v>
      </c>
      <c r="V234">
        <v>0.19078635717669401</v>
      </c>
      <c r="W234">
        <v>196.194839254046</v>
      </c>
      <c r="X234" t="s">
        <v>39</v>
      </c>
      <c r="Y234" t="s">
        <v>40</v>
      </c>
      <c r="Z234">
        <v>1</v>
      </c>
      <c r="AA234">
        <v>213.200260196371</v>
      </c>
      <c r="AB234">
        <v>16888</v>
      </c>
      <c r="AC234" t="s">
        <v>86</v>
      </c>
      <c r="AD234">
        <v>1</v>
      </c>
      <c r="AE234" t="s">
        <v>42</v>
      </c>
      <c r="AF234" t="s">
        <v>334</v>
      </c>
    </row>
    <row r="235" spans="1:32" x14ac:dyDescent="0.2">
      <c r="A235" t="s">
        <v>332</v>
      </c>
      <c r="B235" t="s">
        <v>252</v>
      </c>
      <c r="C235" t="s">
        <v>34</v>
      </c>
      <c r="D235" t="s">
        <v>333</v>
      </c>
      <c r="E235" t="s">
        <v>248</v>
      </c>
      <c r="F235">
        <v>0.213922699369087</v>
      </c>
      <c r="J235">
        <v>2168.2526424653302</v>
      </c>
      <c r="O235" s="1">
        <v>45149.803032407406</v>
      </c>
      <c r="P235" s="1">
        <v>45149.803287037037</v>
      </c>
      <c r="Q235" t="s">
        <v>37</v>
      </c>
      <c r="R235">
        <v>60825</v>
      </c>
      <c r="S235">
        <v>0</v>
      </c>
      <c r="U235" t="s">
        <v>38</v>
      </c>
      <c r="V235">
        <v>0.19258920402561799</v>
      </c>
      <c r="W235">
        <v>196.194839254046</v>
      </c>
      <c r="X235" t="s">
        <v>39</v>
      </c>
      <c r="Y235" t="s">
        <v>40</v>
      </c>
      <c r="Z235">
        <v>1</v>
      </c>
      <c r="AA235">
        <v>226.57866384149901</v>
      </c>
      <c r="AB235">
        <v>17488</v>
      </c>
      <c r="AC235" t="s">
        <v>86</v>
      </c>
      <c r="AD235">
        <v>1</v>
      </c>
      <c r="AE235" t="s">
        <v>42</v>
      </c>
      <c r="AF235" t="s">
        <v>335</v>
      </c>
    </row>
    <row r="236" spans="1:32" x14ac:dyDescent="0.2">
      <c r="A236" t="s">
        <v>332</v>
      </c>
      <c r="B236" t="s">
        <v>252</v>
      </c>
      <c r="C236" t="s">
        <v>34</v>
      </c>
      <c r="D236" t="s">
        <v>333</v>
      </c>
      <c r="E236" t="s">
        <v>248</v>
      </c>
      <c r="F236">
        <v>0.22319447948004301</v>
      </c>
      <c r="J236">
        <v>2268.9887935915699</v>
      </c>
      <c r="O236" s="1">
        <v>45149.803553240738</v>
      </c>
      <c r="P236" s="1">
        <v>45149.803796296299</v>
      </c>
      <c r="Q236" t="s">
        <v>37</v>
      </c>
      <c r="R236">
        <v>60826</v>
      </c>
      <c r="S236">
        <v>0</v>
      </c>
      <c r="U236" t="s">
        <v>38</v>
      </c>
      <c r="V236">
        <v>0.200040741495213</v>
      </c>
      <c r="W236">
        <v>196.194839254046</v>
      </c>
      <c r="X236" t="s">
        <v>39</v>
      </c>
      <c r="Y236" t="s">
        <v>40</v>
      </c>
      <c r="Z236">
        <v>1</v>
      </c>
      <c r="AA236">
        <v>222.73231989305501</v>
      </c>
      <c r="AB236">
        <v>19636</v>
      </c>
      <c r="AC236" t="s">
        <v>86</v>
      </c>
      <c r="AD236">
        <v>1</v>
      </c>
      <c r="AE236" t="s">
        <v>42</v>
      </c>
      <c r="AF236" t="s">
        <v>336</v>
      </c>
    </row>
    <row r="237" spans="1:32" x14ac:dyDescent="0.2">
      <c r="A237" t="s">
        <v>332</v>
      </c>
      <c r="B237" t="s">
        <v>252</v>
      </c>
      <c r="C237" t="s">
        <v>34</v>
      </c>
      <c r="D237" t="s">
        <v>333</v>
      </c>
      <c r="E237" t="s">
        <v>248</v>
      </c>
      <c r="G237">
        <v>0.216269831012188</v>
      </c>
      <c r="H237">
        <v>6.0997312905704398E-3</v>
      </c>
      <c r="I237">
        <v>2.8204263451922298E-2</v>
      </c>
      <c r="K237">
        <v>2193.7720404391698</v>
      </c>
      <c r="L237">
        <v>66.251893329469596</v>
      </c>
      <c r="M237">
        <v>3.0199989838600901E-2</v>
      </c>
      <c r="O237" s="1">
        <v>45149.803553240738</v>
      </c>
      <c r="P237" s="1">
        <v>45149.803796296299</v>
      </c>
      <c r="U237" t="s">
        <v>38</v>
      </c>
      <c r="AC237" t="s">
        <v>86</v>
      </c>
      <c r="AD237">
        <v>1</v>
      </c>
      <c r="AE237" t="s">
        <v>42</v>
      </c>
    </row>
    <row r="238" spans="1:32" x14ac:dyDescent="0.2">
      <c r="A238" t="s">
        <v>337</v>
      </c>
      <c r="B238" t="s">
        <v>252</v>
      </c>
      <c r="C238" t="s">
        <v>34</v>
      </c>
      <c r="D238" t="s">
        <v>338</v>
      </c>
      <c r="E238" t="s">
        <v>248</v>
      </c>
      <c r="F238">
        <v>0.58624397226267499</v>
      </c>
      <c r="J238">
        <v>6523.3909745377896</v>
      </c>
      <c r="O238" s="1">
        <v>45149.804074074076</v>
      </c>
      <c r="P238" s="1">
        <v>45149.80431712963</v>
      </c>
      <c r="Q238" t="s">
        <v>37</v>
      </c>
      <c r="R238">
        <v>60827</v>
      </c>
      <c r="S238">
        <v>1</v>
      </c>
      <c r="T238" t="s">
        <v>299</v>
      </c>
      <c r="U238" t="s">
        <v>38</v>
      </c>
      <c r="V238">
        <v>0.443586731554511</v>
      </c>
      <c r="W238">
        <v>196.194839254046</v>
      </c>
      <c r="X238" t="s">
        <v>39</v>
      </c>
      <c r="Y238" t="s">
        <v>154</v>
      </c>
      <c r="Z238">
        <v>1</v>
      </c>
      <c r="AA238">
        <v>136.64264842284601</v>
      </c>
      <c r="AB238">
        <v>17877</v>
      </c>
      <c r="AC238" t="s">
        <v>86</v>
      </c>
      <c r="AD238">
        <v>1</v>
      </c>
      <c r="AE238" t="s">
        <v>42</v>
      </c>
      <c r="AF238" t="s">
        <v>339</v>
      </c>
    </row>
    <row r="239" spans="1:32" x14ac:dyDescent="0.2">
      <c r="A239" t="s">
        <v>337</v>
      </c>
      <c r="B239" t="s">
        <v>252</v>
      </c>
      <c r="C239" t="s">
        <v>34</v>
      </c>
      <c r="D239" t="s">
        <v>338</v>
      </c>
      <c r="E239" t="s">
        <v>248</v>
      </c>
      <c r="F239">
        <v>0.62798752385368695</v>
      </c>
      <c r="J239">
        <v>7054.6017149023401</v>
      </c>
      <c r="O239" s="1">
        <v>45149.804594907408</v>
      </c>
      <c r="P239" s="1">
        <v>45149.804837962962</v>
      </c>
      <c r="Q239" t="s">
        <v>37</v>
      </c>
      <c r="R239">
        <v>60828</v>
      </c>
      <c r="S239">
        <v>1</v>
      </c>
      <c r="T239" t="s">
        <v>299</v>
      </c>
      <c r="U239" t="s">
        <v>38</v>
      </c>
      <c r="V239">
        <v>0.46633529145955699</v>
      </c>
      <c r="W239">
        <v>196.194839254046</v>
      </c>
      <c r="X239" t="s">
        <v>39</v>
      </c>
      <c r="Y239" t="s">
        <v>154</v>
      </c>
      <c r="Z239">
        <v>1</v>
      </c>
      <c r="AA239">
        <v>138.429021322898</v>
      </c>
      <c r="AB239">
        <v>15491</v>
      </c>
      <c r="AC239" t="s">
        <v>86</v>
      </c>
      <c r="AD239">
        <v>1</v>
      </c>
      <c r="AE239" t="s">
        <v>42</v>
      </c>
      <c r="AF239" t="s">
        <v>340</v>
      </c>
    </row>
    <row r="240" spans="1:32" x14ac:dyDescent="0.2">
      <c r="A240" t="s">
        <v>337</v>
      </c>
      <c r="B240" t="s">
        <v>252</v>
      </c>
      <c r="C240" t="s">
        <v>34</v>
      </c>
      <c r="D240" t="s">
        <v>338</v>
      </c>
      <c r="E240" t="s">
        <v>248</v>
      </c>
      <c r="F240">
        <v>0.60152082355228997</v>
      </c>
      <c r="J240">
        <v>6716.71315147119</v>
      </c>
      <c r="O240" s="1">
        <v>45149.805115740739</v>
      </c>
      <c r="P240" s="1">
        <v>45149.805358796293</v>
      </c>
      <c r="Q240" t="s">
        <v>37</v>
      </c>
      <c r="R240">
        <v>60829</v>
      </c>
      <c r="S240">
        <v>1</v>
      </c>
      <c r="T240" t="s">
        <v>299</v>
      </c>
      <c r="U240" t="s">
        <v>38</v>
      </c>
      <c r="V240">
        <v>0.45202237521514599</v>
      </c>
      <c r="W240">
        <v>196.194839254046</v>
      </c>
      <c r="X240" t="s">
        <v>39</v>
      </c>
      <c r="Y240" t="s">
        <v>154</v>
      </c>
      <c r="Z240">
        <v>1</v>
      </c>
      <c r="AA240">
        <v>141.50088199857601</v>
      </c>
      <c r="AB240">
        <v>13944</v>
      </c>
      <c r="AC240" t="s">
        <v>86</v>
      </c>
      <c r="AD240">
        <v>1</v>
      </c>
      <c r="AE240" t="s">
        <v>42</v>
      </c>
      <c r="AF240" t="s">
        <v>341</v>
      </c>
    </row>
    <row r="241" spans="1:32" x14ac:dyDescent="0.2">
      <c r="A241" t="s">
        <v>337</v>
      </c>
      <c r="B241" t="s">
        <v>252</v>
      </c>
      <c r="C241" t="s">
        <v>34</v>
      </c>
      <c r="D241" t="s">
        <v>338</v>
      </c>
      <c r="E241" t="s">
        <v>248</v>
      </c>
      <c r="G241">
        <v>0.60525077322288401</v>
      </c>
      <c r="H241">
        <v>2.1120260847507399E-2</v>
      </c>
      <c r="I241">
        <v>3.4895058018752499E-2</v>
      </c>
      <c r="K241" t="s">
        <v>46</v>
      </c>
      <c r="L241" t="s">
        <v>46</v>
      </c>
      <c r="M241" t="s">
        <v>46</v>
      </c>
      <c r="O241" s="1">
        <v>45149.805115740739</v>
      </c>
      <c r="P241" s="1">
        <v>45149.805358796293</v>
      </c>
      <c r="U241" t="s">
        <v>38</v>
      </c>
      <c r="AC241" t="s">
        <v>86</v>
      </c>
      <c r="AD241">
        <v>1</v>
      </c>
      <c r="AE241" t="s">
        <v>42</v>
      </c>
    </row>
    <row r="242" spans="1:32" x14ac:dyDescent="0.2">
      <c r="A242" t="s">
        <v>342</v>
      </c>
      <c r="B242" t="s">
        <v>252</v>
      </c>
      <c r="C242" t="s">
        <v>34</v>
      </c>
      <c r="D242" t="s">
        <v>343</v>
      </c>
      <c r="E242" t="s">
        <v>248</v>
      </c>
      <c r="F242">
        <v>1.3460549625339</v>
      </c>
      <c r="J242">
        <v>17925.4223429622</v>
      </c>
      <c r="O242" s="1">
        <v>45149.805636574078</v>
      </c>
      <c r="P242" s="1">
        <v>45149.805879629632</v>
      </c>
      <c r="Q242" t="s">
        <v>37</v>
      </c>
      <c r="R242">
        <v>60830</v>
      </c>
      <c r="S242">
        <v>1</v>
      </c>
      <c r="T242" t="s">
        <v>299</v>
      </c>
      <c r="U242" t="s">
        <v>38</v>
      </c>
      <c r="V242">
        <v>0.99855429883493496</v>
      </c>
      <c r="W242">
        <v>196.194839254046</v>
      </c>
      <c r="X242" t="s">
        <v>80</v>
      </c>
      <c r="Y242" t="s">
        <v>154</v>
      </c>
      <c r="Z242">
        <v>1</v>
      </c>
      <c r="AA242">
        <v>264.47138358883001</v>
      </c>
      <c r="AB242">
        <v>11759</v>
      </c>
      <c r="AC242" t="s">
        <v>86</v>
      </c>
      <c r="AD242">
        <v>1</v>
      </c>
      <c r="AE242" t="s">
        <v>42</v>
      </c>
      <c r="AF242" t="s">
        <v>344</v>
      </c>
    </row>
    <row r="243" spans="1:32" x14ac:dyDescent="0.2">
      <c r="A243" t="s">
        <v>342</v>
      </c>
      <c r="B243" t="s">
        <v>252</v>
      </c>
      <c r="C243" t="s">
        <v>34</v>
      </c>
      <c r="D243" t="s">
        <v>343</v>
      </c>
      <c r="E243" t="s">
        <v>248</v>
      </c>
      <c r="F243" t="s">
        <v>46</v>
      </c>
      <c r="J243" t="s">
        <v>46</v>
      </c>
      <c r="O243" s="1">
        <v>45149.806157407409</v>
      </c>
      <c r="P243" s="1">
        <v>45149.806400462963</v>
      </c>
      <c r="Q243" t="s">
        <v>37</v>
      </c>
      <c r="R243">
        <v>60831</v>
      </c>
      <c r="S243">
        <v>4</v>
      </c>
      <c r="T243" t="s">
        <v>305</v>
      </c>
      <c r="U243" t="s">
        <v>38</v>
      </c>
      <c r="V243" t="s">
        <v>46</v>
      </c>
      <c r="W243">
        <v>196.194839254046</v>
      </c>
      <c r="X243" t="s">
        <v>80</v>
      </c>
      <c r="Y243" t="s">
        <v>55</v>
      </c>
      <c r="Z243" t="s">
        <v>46</v>
      </c>
      <c r="AA243" t="s">
        <v>46</v>
      </c>
      <c r="AB243" t="s">
        <v>46</v>
      </c>
      <c r="AC243" t="s">
        <v>86</v>
      </c>
      <c r="AD243">
        <v>1</v>
      </c>
      <c r="AE243" t="s">
        <v>42</v>
      </c>
    </row>
    <row r="244" spans="1:32" x14ac:dyDescent="0.2">
      <c r="A244" t="s">
        <v>342</v>
      </c>
      <c r="B244" t="s">
        <v>252</v>
      </c>
      <c r="C244" t="s">
        <v>34</v>
      </c>
      <c r="D244" t="s">
        <v>343</v>
      </c>
      <c r="E244" t="s">
        <v>248</v>
      </c>
      <c r="F244" t="s">
        <v>46</v>
      </c>
      <c r="J244" t="s">
        <v>46</v>
      </c>
      <c r="O244" s="1">
        <v>45149.80667824074</v>
      </c>
      <c r="P244" s="1">
        <v>45149.806921296295</v>
      </c>
      <c r="Q244" t="s">
        <v>37</v>
      </c>
      <c r="R244">
        <v>60832</v>
      </c>
      <c r="S244">
        <v>4</v>
      </c>
      <c r="T244" t="s">
        <v>305</v>
      </c>
      <c r="U244" t="s">
        <v>38</v>
      </c>
      <c r="V244" t="s">
        <v>46</v>
      </c>
      <c r="W244">
        <v>196.194839254046</v>
      </c>
      <c r="X244" t="s">
        <v>80</v>
      </c>
      <c r="Y244" t="s">
        <v>55</v>
      </c>
      <c r="Z244" t="s">
        <v>46</v>
      </c>
      <c r="AA244" t="s">
        <v>46</v>
      </c>
      <c r="AB244" t="s">
        <v>46</v>
      </c>
      <c r="AC244" t="s">
        <v>86</v>
      </c>
      <c r="AD244">
        <v>1</v>
      </c>
      <c r="AE244" t="s">
        <v>42</v>
      </c>
    </row>
    <row r="245" spans="1:32" x14ac:dyDescent="0.2">
      <c r="A245" t="s">
        <v>342</v>
      </c>
      <c r="B245" t="s">
        <v>252</v>
      </c>
      <c r="C245" t="s">
        <v>34</v>
      </c>
      <c r="D245" t="s">
        <v>343</v>
      </c>
      <c r="E245" t="s">
        <v>248</v>
      </c>
      <c r="G245">
        <v>1.3460549625339</v>
      </c>
      <c r="H245" t="s">
        <v>46</v>
      </c>
      <c r="I245" t="s">
        <v>46</v>
      </c>
      <c r="K245" t="s">
        <v>46</v>
      </c>
      <c r="L245" t="s">
        <v>46</v>
      </c>
      <c r="M245" t="s">
        <v>46</v>
      </c>
      <c r="O245" s="1">
        <v>45149.80667824074</v>
      </c>
      <c r="P245" s="1">
        <v>45149.806921296295</v>
      </c>
      <c r="U245" t="s">
        <v>38</v>
      </c>
      <c r="AC245" t="s">
        <v>86</v>
      </c>
      <c r="AD245">
        <v>1</v>
      </c>
      <c r="AE245" t="s">
        <v>42</v>
      </c>
    </row>
    <row r="246" spans="1:32" x14ac:dyDescent="0.2">
      <c r="A246" t="s">
        <v>345</v>
      </c>
      <c r="B246" t="s">
        <v>252</v>
      </c>
      <c r="C246" t="s">
        <v>34</v>
      </c>
      <c r="D246" t="s">
        <v>346</v>
      </c>
      <c r="E246" t="s">
        <v>248</v>
      </c>
      <c r="F246">
        <v>0.45740665435871902</v>
      </c>
      <c r="J246">
        <v>4941.1001031468604</v>
      </c>
      <c r="O246" s="1">
        <v>45149.807199074072</v>
      </c>
      <c r="P246" s="1">
        <v>45149.807442129626</v>
      </c>
      <c r="Q246" t="s">
        <v>37</v>
      </c>
      <c r="R246">
        <v>60833</v>
      </c>
      <c r="S246">
        <v>0</v>
      </c>
      <c r="U246" t="s">
        <v>38</v>
      </c>
      <c r="V246">
        <v>0.71434811094125406</v>
      </c>
      <c r="W246">
        <v>196.194839254046</v>
      </c>
      <c r="X246" t="s">
        <v>80</v>
      </c>
      <c r="Y246" t="s">
        <v>40</v>
      </c>
      <c r="Z246">
        <v>1</v>
      </c>
      <c r="AA246">
        <v>125.626180920943</v>
      </c>
      <c r="AB246">
        <v>13737</v>
      </c>
      <c r="AC246" t="s">
        <v>86</v>
      </c>
      <c r="AD246">
        <v>1</v>
      </c>
      <c r="AE246" t="s">
        <v>42</v>
      </c>
      <c r="AF246" t="s">
        <v>347</v>
      </c>
    </row>
    <row r="247" spans="1:32" x14ac:dyDescent="0.2">
      <c r="A247" t="s">
        <v>345</v>
      </c>
      <c r="B247" t="s">
        <v>252</v>
      </c>
      <c r="C247" t="s">
        <v>34</v>
      </c>
      <c r="D247" t="s">
        <v>346</v>
      </c>
      <c r="E247" t="s">
        <v>248</v>
      </c>
      <c r="F247">
        <v>0.45278828324672599</v>
      </c>
      <c r="J247">
        <v>4885.9291737410003</v>
      </c>
      <c r="O247" s="1">
        <v>45149.807719907411</v>
      </c>
      <c r="P247" s="1">
        <v>45149.807962962965</v>
      </c>
      <c r="Q247" t="s">
        <v>37</v>
      </c>
      <c r="R247">
        <v>60834</v>
      </c>
      <c r="S247">
        <v>0</v>
      </c>
      <c r="U247" t="s">
        <v>38</v>
      </c>
      <c r="V247">
        <v>0.712146422628952</v>
      </c>
      <c r="W247">
        <v>196.194839254046</v>
      </c>
      <c r="X247" t="s">
        <v>80</v>
      </c>
      <c r="Y247" t="s">
        <v>40</v>
      </c>
      <c r="Z247">
        <v>1</v>
      </c>
      <c r="AA247">
        <v>124.74221820811201</v>
      </c>
      <c r="AB247">
        <v>13823</v>
      </c>
      <c r="AC247" t="s">
        <v>86</v>
      </c>
      <c r="AD247">
        <v>1</v>
      </c>
      <c r="AE247" t="s">
        <v>42</v>
      </c>
      <c r="AF247" t="s">
        <v>348</v>
      </c>
    </row>
    <row r="248" spans="1:32" x14ac:dyDescent="0.2">
      <c r="A248" t="s">
        <v>345</v>
      </c>
      <c r="B248" t="s">
        <v>252</v>
      </c>
      <c r="C248" t="s">
        <v>34</v>
      </c>
      <c r="D248" t="s">
        <v>346</v>
      </c>
      <c r="E248" t="s">
        <v>248</v>
      </c>
      <c r="F248">
        <v>0.45954076846095598</v>
      </c>
      <c r="J248">
        <v>4966.6294582105302</v>
      </c>
      <c r="O248" s="1">
        <v>45149.808240740742</v>
      </c>
      <c r="P248" s="1">
        <v>45149.808483796296</v>
      </c>
      <c r="Q248" t="s">
        <v>37</v>
      </c>
      <c r="R248">
        <v>60835</v>
      </c>
      <c r="S248">
        <v>0</v>
      </c>
      <c r="U248" t="s">
        <v>38</v>
      </c>
      <c r="V248">
        <v>0.71650109038042198</v>
      </c>
      <c r="W248">
        <v>196.194839254046</v>
      </c>
      <c r="X248" t="s">
        <v>80</v>
      </c>
      <c r="Y248" t="s">
        <v>40</v>
      </c>
      <c r="Z248">
        <v>1</v>
      </c>
      <c r="AA248">
        <v>125.833063493327</v>
      </c>
      <c r="AB248">
        <v>16508</v>
      </c>
      <c r="AC248" t="s">
        <v>86</v>
      </c>
      <c r="AD248">
        <v>1</v>
      </c>
      <c r="AE248" t="s">
        <v>42</v>
      </c>
      <c r="AF248" t="s">
        <v>349</v>
      </c>
    </row>
    <row r="249" spans="1:32" x14ac:dyDescent="0.2">
      <c r="A249" t="s">
        <v>345</v>
      </c>
      <c r="B249" t="s">
        <v>252</v>
      </c>
      <c r="C249" t="s">
        <v>34</v>
      </c>
      <c r="D249" t="s">
        <v>346</v>
      </c>
      <c r="E249" t="s">
        <v>248</v>
      </c>
      <c r="G249">
        <v>0.45657856868880098</v>
      </c>
      <c r="H249">
        <v>3.4515661010098698E-3</v>
      </c>
      <c r="I249">
        <v>7.5596323124014798E-3</v>
      </c>
      <c r="K249">
        <v>4931.21957836613</v>
      </c>
      <c r="L249">
        <v>41.247455143590003</v>
      </c>
      <c r="M249">
        <v>8.3645545464143805E-3</v>
      </c>
      <c r="O249" s="1">
        <v>45149.808240740742</v>
      </c>
      <c r="P249" s="1">
        <v>45149.808483796296</v>
      </c>
      <c r="U249" t="s">
        <v>38</v>
      </c>
      <c r="AC249" t="s">
        <v>86</v>
      </c>
      <c r="AD249">
        <v>1</v>
      </c>
      <c r="AE249" t="s">
        <v>42</v>
      </c>
    </row>
    <row r="250" spans="1:32" x14ac:dyDescent="0.2">
      <c r="A250" t="s">
        <v>350</v>
      </c>
      <c r="B250" t="s">
        <v>252</v>
      </c>
      <c r="C250" t="s">
        <v>34</v>
      </c>
      <c r="D250" t="s">
        <v>351</v>
      </c>
      <c r="E250" t="s">
        <v>248</v>
      </c>
      <c r="F250">
        <v>0.97640646553823696</v>
      </c>
      <c r="J250">
        <v>11883.9993295644</v>
      </c>
      <c r="O250" s="1">
        <v>45149.808761574073</v>
      </c>
      <c r="P250" s="1">
        <v>45149.809004629627</v>
      </c>
      <c r="Q250" t="s">
        <v>37</v>
      </c>
      <c r="R250">
        <v>60836</v>
      </c>
      <c r="S250">
        <v>1</v>
      </c>
      <c r="T250" t="s">
        <v>299</v>
      </c>
      <c r="U250" t="s">
        <v>38</v>
      </c>
      <c r="V250">
        <v>0.98611005113332795</v>
      </c>
      <c r="W250">
        <v>196.194839254046</v>
      </c>
      <c r="X250" t="s">
        <v>80</v>
      </c>
      <c r="Y250" t="s">
        <v>154</v>
      </c>
      <c r="Z250">
        <v>1</v>
      </c>
      <c r="AA250">
        <v>194.264229771028</v>
      </c>
      <c r="AB250">
        <v>13103</v>
      </c>
      <c r="AC250" t="s">
        <v>86</v>
      </c>
      <c r="AD250">
        <v>1</v>
      </c>
      <c r="AE250" t="s">
        <v>42</v>
      </c>
      <c r="AF250" t="s">
        <v>352</v>
      </c>
    </row>
    <row r="251" spans="1:32" x14ac:dyDescent="0.2">
      <c r="A251" t="s">
        <v>350</v>
      </c>
      <c r="B251" t="s">
        <v>252</v>
      </c>
      <c r="C251" t="s">
        <v>34</v>
      </c>
      <c r="D251" t="s">
        <v>351</v>
      </c>
      <c r="E251" t="s">
        <v>248</v>
      </c>
      <c r="F251" t="s">
        <v>46</v>
      </c>
      <c r="J251" t="s">
        <v>46</v>
      </c>
      <c r="O251" s="1">
        <v>45149.809282407405</v>
      </c>
      <c r="P251" s="1">
        <v>45149.809525462966</v>
      </c>
      <c r="Q251" t="s">
        <v>37</v>
      </c>
      <c r="R251">
        <v>60837</v>
      </c>
      <c r="S251">
        <v>4</v>
      </c>
      <c r="T251" t="s">
        <v>305</v>
      </c>
      <c r="U251" t="s">
        <v>38</v>
      </c>
      <c r="V251" t="s">
        <v>46</v>
      </c>
      <c r="W251">
        <v>196.194839254046</v>
      </c>
      <c r="X251" t="s">
        <v>80</v>
      </c>
      <c r="Y251" t="s">
        <v>55</v>
      </c>
      <c r="Z251" t="s">
        <v>46</v>
      </c>
      <c r="AA251" t="s">
        <v>46</v>
      </c>
      <c r="AB251" t="s">
        <v>46</v>
      </c>
      <c r="AC251" t="s">
        <v>86</v>
      </c>
      <c r="AD251">
        <v>1</v>
      </c>
      <c r="AE251" t="s">
        <v>42</v>
      </c>
    </row>
    <row r="252" spans="1:32" x14ac:dyDescent="0.2">
      <c r="A252" t="s">
        <v>350</v>
      </c>
      <c r="B252" t="s">
        <v>252</v>
      </c>
      <c r="C252" t="s">
        <v>34</v>
      </c>
      <c r="D252" t="s">
        <v>351</v>
      </c>
      <c r="E252" t="s">
        <v>248</v>
      </c>
      <c r="F252">
        <v>0.70773450802750304</v>
      </c>
      <c r="J252">
        <v>8096.0037553070697</v>
      </c>
      <c r="O252" s="1">
        <v>45149.809803240743</v>
      </c>
      <c r="P252" s="1">
        <v>45149.810046296298</v>
      </c>
      <c r="Q252" t="s">
        <v>37</v>
      </c>
      <c r="R252">
        <v>60838</v>
      </c>
      <c r="S252">
        <v>1</v>
      </c>
      <c r="T252" t="s">
        <v>299</v>
      </c>
      <c r="U252" t="s">
        <v>38</v>
      </c>
      <c r="V252">
        <v>0.92763713080168797</v>
      </c>
      <c r="W252">
        <v>196.194839254046</v>
      </c>
      <c r="X252" t="s">
        <v>80</v>
      </c>
      <c r="Y252" t="s">
        <v>154</v>
      </c>
      <c r="Z252">
        <v>1</v>
      </c>
      <c r="AA252">
        <v>149.685532657577</v>
      </c>
      <c r="AB252">
        <v>14220</v>
      </c>
      <c r="AC252" t="s">
        <v>86</v>
      </c>
      <c r="AD252">
        <v>1</v>
      </c>
      <c r="AE252" t="s">
        <v>42</v>
      </c>
      <c r="AF252" t="s">
        <v>353</v>
      </c>
    </row>
    <row r="253" spans="1:32" x14ac:dyDescent="0.2">
      <c r="A253" t="s">
        <v>350</v>
      </c>
      <c r="B253" t="s">
        <v>252</v>
      </c>
      <c r="C253" t="s">
        <v>34</v>
      </c>
      <c r="D253" t="s">
        <v>351</v>
      </c>
      <c r="E253" t="s">
        <v>248</v>
      </c>
      <c r="G253">
        <v>0.84207048678287</v>
      </c>
      <c r="H253">
        <v>0.18997976307050399</v>
      </c>
      <c r="I253">
        <v>0.22561028566185901</v>
      </c>
      <c r="K253" t="s">
        <v>46</v>
      </c>
      <c r="L253" t="s">
        <v>46</v>
      </c>
      <c r="M253" t="s">
        <v>46</v>
      </c>
      <c r="O253" s="1">
        <v>45149.809803240743</v>
      </c>
      <c r="P253" s="1">
        <v>45149.810046296298</v>
      </c>
      <c r="U253" t="s">
        <v>38</v>
      </c>
      <c r="AC253" t="s">
        <v>86</v>
      </c>
      <c r="AD253">
        <v>1</v>
      </c>
      <c r="AE253" t="s">
        <v>42</v>
      </c>
    </row>
    <row r="254" spans="1:32" x14ac:dyDescent="0.2">
      <c r="A254" t="s">
        <v>354</v>
      </c>
      <c r="B254" t="s">
        <v>252</v>
      </c>
      <c r="C254" t="s">
        <v>34</v>
      </c>
      <c r="D254" t="s">
        <v>355</v>
      </c>
      <c r="E254" t="s">
        <v>248</v>
      </c>
      <c r="F254" t="s">
        <v>46</v>
      </c>
      <c r="J254" t="s">
        <v>46</v>
      </c>
      <c r="O254" s="1">
        <v>45149.810324074075</v>
      </c>
      <c r="P254" s="1">
        <v>45149.810578703706</v>
      </c>
      <c r="Q254" t="s">
        <v>37</v>
      </c>
      <c r="R254">
        <v>60839</v>
      </c>
      <c r="S254">
        <v>4</v>
      </c>
      <c r="T254" t="s">
        <v>305</v>
      </c>
      <c r="U254" t="s">
        <v>38</v>
      </c>
      <c r="V254" t="s">
        <v>46</v>
      </c>
      <c r="W254">
        <v>196.194839254046</v>
      </c>
      <c r="X254" t="s">
        <v>39</v>
      </c>
      <c r="Y254" t="s">
        <v>55</v>
      </c>
      <c r="Z254" t="s">
        <v>46</v>
      </c>
      <c r="AA254" t="s">
        <v>46</v>
      </c>
      <c r="AB254" t="s">
        <v>46</v>
      </c>
      <c r="AC254" t="s">
        <v>86</v>
      </c>
      <c r="AD254">
        <v>1</v>
      </c>
      <c r="AE254" t="s">
        <v>42</v>
      </c>
    </row>
    <row r="255" spans="1:32" x14ac:dyDescent="0.2">
      <c r="A255" t="s">
        <v>354</v>
      </c>
      <c r="B255" t="s">
        <v>252</v>
      </c>
      <c r="C255" t="s">
        <v>34</v>
      </c>
      <c r="D255" t="s">
        <v>355</v>
      </c>
      <c r="E255" t="s">
        <v>248</v>
      </c>
      <c r="F255">
        <v>0.46963759309019598</v>
      </c>
      <c r="J255">
        <v>5087.7162308077804</v>
      </c>
      <c r="O255" s="1">
        <v>45149.810844907406</v>
      </c>
      <c r="P255" s="1">
        <v>45149.81108796296</v>
      </c>
      <c r="Q255" t="s">
        <v>37</v>
      </c>
      <c r="R255">
        <v>60840</v>
      </c>
      <c r="S255">
        <v>1</v>
      </c>
      <c r="T255" t="s">
        <v>299</v>
      </c>
      <c r="U255" t="s">
        <v>38</v>
      </c>
      <c r="V255">
        <v>0.37477118552815802</v>
      </c>
      <c r="W255">
        <v>196.194839254046</v>
      </c>
      <c r="X255" t="s">
        <v>39</v>
      </c>
      <c r="Y255" t="s">
        <v>154</v>
      </c>
      <c r="Z255">
        <v>1</v>
      </c>
      <c r="AA255">
        <v>145.64990096378401</v>
      </c>
      <c r="AB255">
        <v>18574</v>
      </c>
      <c r="AC255" t="s">
        <v>86</v>
      </c>
      <c r="AD255">
        <v>1</v>
      </c>
      <c r="AE255" t="s">
        <v>42</v>
      </c>
      <c r="AF255" t="s">
        <v>356</v>
      </c>
    </row>
    <row r="256" spans="1:32" x14ac:dyDescent="0.2">
      <c r="A256" t="s">
        <v>354</v>
      </c>
      <c r="B256" t="s">
        <v>252</v>
      </c>
      <c r="C256" t="s">
        <v>34</v>
      </c>
      <c r="D256" t="s">
        <v>355</v>
      </c>
      <c r="E256" t="s">
        <v>248</v>
      </c>
      <c r="F256">
        <v>0.45518317718068801</v>
      </c>
      <c r="J256">
        <v>4914.5254796795898</v>
      </c>
      <c r="O256" s="1">
        <v>45149.811365740738</v>
      </c>
      <c r="P256" s="1">
        <v>45149.811608796299</v>
      </c>
      <c r="Q256" t="s">
        <v>37</v>
      </c>
      <c r="R256">
        <v>60841</v>
      </c>
      <c r="S256">
        <v>0</v>
      </c>
      <c r="U256" t="s">
        <v>38</v>
      </c>
      <c r="V256">
        <v>0.36566823779838797</v>
      </c>
      <c r="W256">
        <v>196.194839254046</v>
      </c>
      <c r="X256" t="s">
        <v>39</v>
      </c>
      <c r="Y256" t="s">
        <v>40</v>
      </c>
      <c r="Z256">
        <v>1</v>
      </c>
      <c r="AA256">
        <v>151.61867978934001</v>
      </c>
      <c r="AB256">
        <v>19731</v>
      </c>
      <c r="AC256" t="s">
        <v>86</v>
      </c>
      <c r="AD256">
        <v>1</v>
      </c>
      <c r="AE256" t="s">
        <v>42</v>
      </c>
      <c r="AF256" t="s">
        <v>357</v>
      </c>
    </row>
    <row r="257" spans="1:32" x14ac:dyDescent="0.2">
      <c r="A257" t="s">
        <v>354</v>
      </c>
      <c r="B257" t="s">
        <v>252</v>
      </c>
      <c r="C257" t="s">
        <v>34</v>
      </c>
      <c r="D257" t="s">
        <v>355</v>
      </c>
      <c r="E257" t="s">
        <v>248</v>
      </c>
      <c r="G257">
        <v>0.46241038513544203</v>
      </c>
      <c r="H257">
        <v>1.02208155077038E-2</v>
      </c>
      <c r="I257">
        <v>2.2103343342321599E-2</v>
      </c>
      <c r="K257">
        <v>4914.5254796795898</v>
      </c>
      <c r="L257" t="s">
        <v>46</v>
      </c>
      <c r="M257" t="s">
        <v>46</v>
      </c>
      <c r="O257" s="1">
        <v>45149.811365740738</v>
      </c>
      <c r="P257" s="1">
        <v>45149.811608796299</v>
      </c>
      <c r="U257" t="s">
        <v>38</v>
      </c>
      <c r="AC257" t="s">
        <v>86</v>
      </c>
      <c r="AD257">
        <v>1</v>
      </c>
      <c r="AE257" t="s">
        <v>42</v>
      </c>
    </row>
    <row r="258" spans="1:32" x14ac:dyDescent="0.2">
      <c r="A258" t="s">
        <v>358</v>
      </c>
      <c r="B258" t="s">
        <v>252</v>
      </c>
      <c r="C258" t="s">
        <v>34</v>
      </c>
      <c r="D258" t="s">
        <v>359</v>
      </c>
      <c r="E258" t="s">
        <v>248</v>
      </c>
      <c r="F258">
        <v>0.204278475509722</v>
      </c>
      <c r="J258">
        <v>2063.85885438378</v>
      </c>
      <c r="O258" s="1">
        <v>45149.81449074074</v>
      </c>
      <c r="P258" s="1">
        <v>45149.814733796295</v>
      </c>
      <c r="Q258" t="s">
        <v>37</v>
      </c>
      <c r="R258">
        <v>60842</v>
      </c>
      <c r="S258">
        <v>0</v>
      </c>
      <c r="U258" t="s">
        <v>38</v>
      </c>
      <c r="V258">
        <v>0.18476468349613101</v>
      </c>
      <c r="W258">
        <v>196.194839254046</v>
      </c>
      <c r="X258" t="s">
        <v>39</v>
      </c>
      <c r="Y258" t="s">
        <v>40</v>
      </c>
      <c r="Z258">
        <v>1</v>
      </c>
      <c r="AA258">
        <v>217.065328897829</v>
      </c>
      <c r="AB258">
        <v>15766</v>
      </c>
      <c r="AC258" t="s">
        <v>86</v>
      </c>
      <c r="AD258">
        <v>1</v>
      </c>
      <c r="AE258" t="s">
        <v>42</v>
      </c>
      <c r="AF258" t="s">
        <v>360</v>
      </c>
    </row>
    <row r="259" spans="1:32" x14ac:dyDescent="0.2">
      <c r="A259" t="s">
        <v>358</v>
      </c>
      <c r="B259" t="s">
        <v>252</v>
      </c>
      <c r="C259" t="s">
        <v>34</v>
      </c>
      <c r="D259" t="s">
        <v>359</v>
      </c>
      <c r="E259" t="s">
        <v>248</v>
      </c>
      <c r="F259">
        <v>0.209794121268185</v>
      </c>
      <c r="J259">
        <v>2123.5144673700602</v>
      </c>
      <c r="O259" s="1">
        <v>45149.815011574072</v>
      </c>
      <c r="P259" s="1">
        <v>45149.815254629626</v>
      </c>
      <c r="Q259" t="s">
        <v>37</v>
      </c>
      <c r="R259">
        <v>60843</v>
      </c>
      <c r="S259">
        <v>0</v>
      </c>
      <c r="U259" t="s">
        <v>38</v>
      </c>
      <c r="V259">
        <v>0.18924885479331099</v>
      </c>
      <c r="W259">
        <v>196.194839254046</v>
      </c>
      <c r="X259" t="s">
        <v>39</v>
      </c>
      <c r="Y259" t="s">
        <v>40</v>
      </c>
      <c r="Z259">
        <v>1</v>
      </c>
      <c r="AA259">
        <v>212.19037439975699</v>
      </c>
      <c r="AB259">
        <v>18119</v>
      </c>
      <c r="AC259" t="s">
        <v>86</v>
      </c>
      <c r="AD259">
        <v>1</v>
      </c>
      <c r="AE259" t="s">
        <v>42</v>
      </c>
      <c r="AF259" t="s">
        <v>361</v>
      </c>
    </row>
    <row r="260" spans="1:32" x14ac:dyDescent="0.2">
      <c r="A260" t="s">
        <v>358</v>
      </c>
      <c r="B260" t="s">
        <v>252</v>
      </c>
      <c r="C260" t="s">
        <v>34</v>
      </c>
      <c r="D260" t="s">
        <v>359</v>
      </c>
      <c r="E260" t="s">
        <v>248</v>
      </c>
      <c r="F260">
        <v>0.20612909884694899</v>
      </c>
      <c r="J260">
        <v>2083.86025040289</v>
      </c>
      <c r="O260" s="1">
        <v>45149.815532407411</v>
      </c>
      <c r="P260" s="1">
        <v>45149.815787037034</v>
      </c>
      <c r="Q260" t="s">
        <v>37</v>
      </c>
      <c r="R260">
        <v>60844</v>
      </c>
      <c r="S260">
        <v>0</v>
      </c>
      <c r="U260" t="s">
        <v>38</v>
      </c>
      <c r="V260">
        <v>0.186271981847249</v>
      </c>
      <c r="W260">
        <v>196.194839254046</v>
      </c>
      <c r="X260" t="s">
        <v>39</v>
      </c>
      <c r="Y260" t="s">
        <v>40</v>
      </c>
      <c r="Z260">
        <v>1</v>
      </c>
      <c r="AA260">
        <v>217.15914411316299</v>
      </c>
      <c r="AB260">
        <v>19391</v>
      </c>
      <c r="AC260" t="s">
        <v>86</v>
      </c>
      <c r="AD260">
        <v>1</v>
      </c>
      <c r="AE260" t="s">
        <v>42</v>
      </c>
      <c r="AF260" t="s">
        <v>362</v>
      </c>
    </row>
    <row r="261" spans="1:32" x14ac:dyDescent="0.2">
      <c r="A261" t="s">
        <v>358</v>
      </c>
      <c r="B261" t="s">
        <v>252</v>
      </c>
      <c r="C261" t="s">
        <v>34</v>
      </c>
      <c r="D261" t="s">
        <v>359</v>
      </c>
      <c r="E261" t="s">
        <v>248</v>
      </c>
      <c r="G261">
        <v>0.206733898541618</v>
      </c>
      <c r="H261">
        <v>2.80712023900228E-3</v>
      </c>
      <c r="I261">
        <v>1.35784225944792E-2</v>
      </c>
      <c r="K261">
        <v>2090.4111907189099</v>
      </c>
      <c r="L261">
        <v>30.362545256621001</v>
      </c>
      <c r="M261">
        <v>1.4524676002226599E-2</v>
      </c>
      <c r="O261" s="1">
        <v>45149.815532407411</v>
      </c>
      <c r="P261" s="1">
        <v>45149.815787037034</v>
      </c>
      <c r="U261" t="s">
        <v>38</v>
      </c>
      <c r="AC261" t="s">
        <v>86</v>
      </c>
      <c r="AD261">
        <v>1</v>
      </c>
      <c r="AE261" t="s">
        <v>42</v>
      </c>
    </row>
    <row r="262" spans="1:32" x14ac:dyDescent="0.2">
      <c r="A262" t="s">
        <v>363</v>
      </c>
      <c r="B262" t="s">
        <v>252</v>
      </c>
      <c r="C262" t="s">
        <v>34</v>
      </c>
      <c r="D262" t="s">
        <v>364</v>
      </c>
      <c r="E262" t="s">
        <v>248</v>
      </c>
      <c r="F262">
        <v>0.20376931958903999</v>
      </c>
      <c r="J262">
        <v>2058.3584851414298</v>
      </c>
      <c r="O262" s="1">
        <v>45149.816053240742</v>
      </c>
      <c r="P262" s="1">
        <v>45149.816307870373</v>
      </c>
      <c r="Q262" t="s">
        <v>37</v>
      </c>
      <c r="R262">
        <v>60845</v>
      </c>
      <c r="S262">
        <v>0</v>
      </c>
      <c r="U262" t="s">
        <v>38</v>
      </c>
      <c r="V262">
        <v>0.18434949591934699</v>
      </c>
      <c r="W262">
        <v>196.194839254046</v>
      </c>
      <c r="X262" t="s">
        <v>39</v>
      </c>
      <c r="Y262" t="s">
        <v>40</v>
      </c>
      <c r="Z262">
        <v>1</v>
      </c>
      <c r="AA262">
        <v>225.47197702536801</v>
      </c>
      <c r="AB262">
        <v>18747</v>
      </c>
      <c r="AC262" t="s">
        <v>86</v>
      </c>
      <c r="AD262">
        <v>1</v>
      </c>
      <c r="AE262" t="s">
        <v>42</v>
      </c>
      <c r="AF262" t="s">
        <v>365</v>
      </c>
    </row>
    <row r="263" spans="1:32" x14ac:dyDescent="0.2">
      <c r="A263" t="s">
        <v>363</v>
      </c>
      <c r="B263" t="s">
        <v>252</v>
      </c>
      <c r="C263" t="s">
        <v>34</v>
      </c>
      <c r="D263" t="s">
        <v>364</v>
      </c>
      <c r="E263" t="s">
        <v>248</v>
      </c>
      <c r="F263">
        <v>0.21120544127217999</v>
      </c>
      <c r="J263">
        <v>2138.7996737839399</v>
      </c>
      <c r="O263" s="1">
        <v>45149.816574074073</v>
      </c>
      <c r="P263" s="1">
        <v>45149.816828703704</v>
      </c>
      <c r="Q263" t="s">
        <v>37</v>
      </c>
      <c r="R263">
        <v>60846</v>
      </c>
      <c r="S263">
        <v>0</v>
      </c>
      <c r="U263" t="s">
        <v>38</v>
      </c>
      <c r="V263">
        <v>0.190392277045664</v>
      </c>
      <c r="W263">
        <v>196.194839254046</v>
      </c>
      <c r="X263" t="s">
        <v>39</v>
      </c>
      <c r="Y263" t="s">
        <v>40</v>
      </c>
      <c r="Z263">
        <v>1</v>
      </c>
      <c r="AA263">
        <v>224.70782582015201</v>
      </c>
      <c r="AB263">
        <v>13052</v>
      </c>
      <c r="AC263" t="s">
        <v>86</v>
      </c>
      <c r="AD263">
        <v>1</v>
      </c>
      <c r="AE263" t="s">
        <v>42</v>
      </c>
      <c r="AF263" t="s">
        <v>366</v>
      </c>
    </row>
    <row r="264" spans="1:32" x14ac:dyDescent="0.2">
      <c r="A264" t="s">
        <v>363</v>
      </c>
      <c r="B264" t="s">
        <v>252</v>
      </c>
      <c r="C264" t="s">
        <v>34</v>
      </c>
      <c r="D264" t="s">
        <v>364</v>
      </c>
      <c r="E264" t="s">
        <v>248</v>
      </c>
      <c r="F264">
        <v>0.21489499386052999</v>
      </c>
      <c r="J264">
        <v>2178.7992054577298</v>
      </c>
      <c r="O264" s="1">
        <v>45149.817094907405</v>
      </c>
      <c r="P264" s="1">
        <v>45149.817349537036</v>
      </c>
      <c r="Q264" t="s">
        <v>37</v>
      </c>
      <c r="R264">
        <v>60847</v>
      </c>
      <c r="S264">
        <v>0</v>
      </c>
      <c r="U264" t="s">
        <v>38</v>
      </c>
      <c r="V264">
        <v>0.193373863572982</v>
      </c>
      <c r="W264">
        <v>196.194839254046</v>
      </c>
      <c r="X264" t="s">
        <v>39</v>
      </c>
      <c r="Y264" t="s">
        <v>40</v>
      </c>
      <c r="Z264">
        <v>1</v>
      </c>
      <c r="AA264">
        <v>203.28567163965801</v>
      </c>
      <c r="AB264">
        <v>17929</v>
      </c>
      <c r="AC264" t="s">
        <v>86</v>
      </c>
      <c r="AD264">
        <v>1</v>
      </c>
      <c r="AE264" t="s">
        <v>42</v>
      </c>
      <c r="AF264" t="s">
        <v>367</v>
      </c>
    </row>
    <row r="265" spans="1:32" x14ac:dyDescent="0.2">
      <c r="A265" t="s">
        <v>363</v>
      </c>
      <c r="B265" t="s">
        <v>252</v>
      </c>
      <c r="C265" t="s">
        <v>34</v>
      </c>
      <c r="D265" t="s">
        <v>364</v>
      </c>
      <c r="E265" t="s">
        <v>248</v>
      </c>
      <c r="G265">
        <v>0.20995658490725</v>
      </c>
      <c r="H265">
        <v>5.6669999703541397E-3</v>
      </c>
      <c r="I265">
        <v>2.6991294285233201E-2</v>
      </c>
      <c r="K265">
        <v>2125.3191214610401</v>
      </c>
      <c r="L265">
        <v>61.341549913375196</v>
      </c>
      <c r="M265">
        <v>2.8862277337064701E-2</v>
      </c>
      <c r="O265" s="1">
        <v>45149.817094907405</v>
      </c>
      <c r="P265" s="1">
        <v>45149.817349537036</v>
      </c>
      <c r="U265" t="s">
        <v>38</v>
      </c>
      <c r="AC265" t="s">
        <v>86</v>
      </c>
      <c r="AD265">
        <v>1</v>
      </c>
      <c r="AE265" t="s">
        <v>42</v>
      </c>
    </row>
    <row r="266" spans="1:32" x14ac:dyDescent="0.2">
      <c r="A266" t="s">
        <v>368</v>
      </c>
      <c r="B266" t="s">
        <v>252</v>
      </c>
      <c r="C266" t="s">
        <v>34</v>
      </c>
      <c r="D266" t="s">
        <v>369</v>
      </c>
      <c r="E266" t="s">
        <v>248</v>
      </c>
      <c r="F266">
        <v>0.19960164637133601</v>
      </c>
      <c r="J266">
        <v>2013.3767640832</v>
      </c>
      <c r="O266" s="1">
        <v>45149.817615740743</v>
      </c>
      <c r="P266" s="1">
        <v>45149.817870370367</v>
      </c>
      <c r="Q266" t="s">
        <v>37</v>
      </c>
      <c r="R266">
        <v>60848</v>
      </c>
      <c r="S266">
        <v>0</v>
      </c>
      <c r="U266" t="s">
        <v>38</v>
      </c>
      <c r="V266">
        <v>0.18094303758660901</v>
      </c>
      <c r="W266">
        <v>196.194839254046</v>
      </c>
      <c r="X266" t="s">
        <v>39</v>
      </c>
      <c r="Y266" t="s">
        <v>40</v>
      </c>
      <c r="Z266">
        <v>1</v>
      </c>
      <c r="AA266">
        <v>235.76046564618699</v>
      </c>
      <c r="AB266">
        <v>16309</v>
      </c>
      <c r="AC266" t="s">
        <v>86</v>
      </c>
      <c r="AD266">
        <v>1</v>
      </c>
      <c r="AE266" t="s">
        <v>42</v>
      </c>
      <c r="AF266" t="s">
        <v>370</v>
      </c>
    </row>
    <row r="267" spans="1:32" x14ac:dyDescent="0.2">
      <c r="A267" t="s">
        <v>368</v>
      </c>
      <c r="B267" t="s">
        <v>252</v>
      </c>
      <c r="C267" t="s">
        <v>34</v>
      </c>
      <c r="D267" t="s">
        <v>369</v>
      </c>
      <c r="E267" t="s">
        <v>248</v>
      </c>
      <c r="F267" t="s">
        <v>46</v>
      </c>
      <c r="J267" t="s">
        <v>46</v>
      </c>
      <c r="O267" s="1">
        <v>45149.818136574075</v>
      </c>
      <c r="P267" s="1">
        <v>45149.818379629629</v>
      </c>
      <c r="Q267" t="s">
        <v>37</v>
      </c>
      <c r="R267">
        <v>60849</v>
      </c>
      <c r="S267">
        <v>4</v>
      </c>
      <c r="T267" t="s">
        <v>142</v>
      </c>
      <c r="U267" t="s">
        <v>38</v>
      </c>
      <c r="V267" t="s">
        <v>46</v>
      </c>
      <c r="W267">
        <v>196.194839254046</v>
      </c>
      <c r="X267" t="s">
        <v>39</v>
      </c>
      <c r="Y267" t="s">
        <v>55</v>
      </c>
      <c r="Z267" t="s">
        <v>46</v>
      </c>
      <c r="AA267" t="s">
        <v>46</v>
      </c>
      <c r="AB267" t="s">
        <v>46</v>
      </c>
      <c r="AC267" t="s">
        <v>86</v>
      </c>
      <c r="AD267">
        <v>1</v>
      </c>
      <c r="AE267" t="s">
        <v>42</v>
      </c>
    </row>
    <row r="268" spans="1:32" x14ac:dyDescent="0.2">
      <c r="A268" t="s">
        <v>368</v>
      </c>
      <c r="B268" t="s">
        <v>252</v>
      </c>
      <c r="C268" t="s">
        <v>34</v>
      </c>
      <c r="D268" t="s">
        <v>369</v>
      </c>
      <c r="E268" t="s">
        <v>248</v>
      </c>
      <c r="F268">
        <v>0.237381333976982</v>
      </c>
      <c r="J268">
        <v>2423.8399159652399</v>
      </c>
      <c r="O268" s="1">
        <v>45149.818657407406</v>
      </c>
      <c r="P268" s="1">
        <v>45149.81890046296</v>
      </c>
      <c r="Q268" t="s">
        <v>37</v>
      </c>
      <c r="R268">
        <v>60850</v>
      </c>
      <c r="S268">
        <v>0</v>
      </c>
      <c r="U268" t="s">
        <v>38</v>
      </c>
      <c r="V268">
        <v>0.211309523809524</v>
      </c>
      <c r="W268">
        <v>196.194839254046</v>
      </c>
      <c r="X268" t="s">
        <v>39</v>
      </c>
      <c r="Y268" t="s">
        <v>40</v>
      </c>
      <c r="Z268">
        <v>1</v>
      </c>
      <c r="AA268">
        <v>173.669851394505</v>
      </c>
      <c r="AB268">
        <v>1008</v>
      </c>
      <c r="AC268" t="s">
        <v>86</v>
      </c>
      <c r="AD268">
        <v>1</v>
      </c>
      <c r="AE268" t="s">
        <v>42</v>
      </c>
      <c r="AF268" t="s">
        <v>371</v>
      </c>
    </row>
    <row r="269" spans="1:32" x14ac:dyDescent="0.2">
      <c r="A269" t="s">
        <v>368</v>
      </c>
      <c r="B269" t="s">
        <v>252</v>
      </c>
      <c r="C269" t="s">
        <v>34</v>
      </c>
      <c r="D269" t="s">
        <v>369</v>
      </c>
      <c r="E269" t="s">
        <v>248</v>
      </c>
      <c r="G269">
        <v>0.218491490174159</v>
      </c>
      <c r="H269">
        <v>2.67142732970614E-2</v>
      </c>
      <c r="I269">
        <v>0.122266882228537</v>
      </c>
      <c r="K269">
        <v>2218.6083400242201</v>
      </c>
      <c r="L269">
        <v>290.24127812299002</v>
      </c>
      <c r="M269">
        <v>0.13082132293788301</v>
      </c>
      <c r="O269" s="1">
        <v>45149.818657407406</v>
      </c>
      <c r="P269" s="1">
        <v>45149.81890046296</v>
      </c>
      <c r="U269" t="s">
        <v>38</v>
      </c>
      <c r="AC269" t="s">
        <v>86</v>
      </c>
      <c r="AD269">
        <v>1</v>
      </c>
      <c r="AE269" t="s">
        <v>42</v>
      </c>
    </row>
    <row r="270" spans="1:32" x14ac:dyDescent="0.2">
      <c r="A270" t="s">
        <v>372</v>
      </c>
      <c r="B270" t="s">
        <v>252</v>
      </c>
      <c r="C270" t="s">
        <v>34</v>
      </c>
      <c r="D270" t="s">
        <v>373</v>
      </c>
      <c r="E270" t="s">
        <v>248</v>
      </c>
      <c r="F270">
        <v>0.38989453273274199</v>
      </c>
      <c r="J270">
        <v>4144.8574322814502</v>
      </c>
      <c r="O270" s="1">
        <v>45149.819178240738</v>
      </c>
      <c r="P270" s="1">
        <v>45149.819421296299</v>
      </c>
      <c r="Q270" t="s">
        <v>37</v>
      </c>
      <c r="R270">
        <v>60851</v>
      </c>
      <c r="S270">
        <v>0</v>
      </c>
      <c r="U270" t="s">
        <v>38</v>
      </c>
      <c r="V270">
        <v>0.32287171439780299</v>
      </c>
      <c r="W270">
        <v>196.194839254046</v>
      </c>
      <c r="X270" t="s">
        <v>39</v>
      </c>
      <c r="Y270" t="s">
        <v>40</v>
      </c>
      <c r="Z270">
        <v>1</v>
      </c>
      <c r="AA270">
        <v>154.626100077117</v>
      </c>
      <c r="AB270">
        <v>17843</v>
      </c>
      <c r="AC270" t="s">
        <v>86</v>
      </c>
      <c r="AD270">
        <v>1</v>
      </c>
      <c r="AE270" t="s">
        <v>42</v>
      </c>
      <c r="AF270" t="s">
        <v>374</v>
      </c>
    </row>
    <row r="271" spans="1:32" x14ac:dyDescent="0.2">
      <c r="A271" t="s">
        <v>372</v>
      </c>
      <c r="B271" t="s">
        <v>252</v>
      </c>
      <c r="C271" t="s">
        <v>34</v>
      </c>
      <c r="D271" t="s">
        <v>373</v>
      </c>
      <c r="E271" t="s">
        <v>248</v>
      </c>
      <c r="F271">
        <v>0.407698957723233</v>
      </c>
      <c r="J271">
        <v>4352.7255922165295</v>
      </c>
      <c r="O271" s="1">
        <v>45149.819699074076</v>
      </c>
      <c r="P271" s="1">
        <v>45149.81994212963</v>
      </c>
      <c r="Q271" t="s">
        <v>37</v>
      </c>
      <c r="R271">
        <v>60852</v>
      </c>
      <c r="S271">
        <v>0</v>
      </c>
      <c r="U271" t="s">
        <v>38</v>
      </c>
      <c r="V271">
        <v>0.33482090428655298</v>
      </c>
      <c r="W271">
        <v>196.194839254046</v>
      </c>
      <c r="X271" t="s">
        <v>39</v>
      </c>
      <c r="Y271" t="s">
        <v>40</v>
      </c>
      <c r="Z271">
        <v>1</v>
      </c>
      <c r="AA271">
        <v>160.96509201096299</v>
      </c>
      <c r="AB271">
        <v>17030</v>
      </c>
      <c r="AC271" t="s">
        <v>86</v>
      </c>
      <c r="AD271">
        <v>1</v>
      </c>
      <c r="AE271" t="s">
        <v>42</v>
      </c>
      <c r="AF271" t="s">
        <v>375</v>
      </c>
    </row>
    <row r="272" spans="1:32" x14ac:dyDescent="0.2">
      <c r="A272" t="s">
        <v>372</v>
      </c>
      <c r="B272" t="s">
        <v>252</v>
      </c>
      <c r="C272" t="s">
        <v>34</v>
      </c>
      <c r="D272" t="s">
        <v>373</v>
      </c>
      <c r="E272" t="s">
        <v>248</v>
      </c>
      <c r="F272">
        <v>0.42808042863788698</v>
      </c>
      <c r="J272">
        <v>4592.5331399830302</v>
      </c>
      <c r="O272" s="1">
        <v>45149.820219907408</v>
      </c>
      <c r="P272" s="1">
        <v>45149.820462962962</v>
      </c>
      <c r="Q272" t="s">
        <v>37</v>
      </c>
      <c r="R272">
        <v>60853</v>
      </c>
      <c r="S272">
        <v>0</v>
      </c>
      <c r="U272" t="s">
        <v>38</v>
      </c>
      <c r="V272">
        <v>0.34824100739736902</v>
      </c>
      <c r="W272">
        <v>196.194839254046</v>
      </c>
      <c r="X272" t="s">
        <v>39</v>
      </c>
      <c r="Y272" t="s">
        <v>40</v>
      </c>
      <c r="Z272">
        <v>1</v>
      </c>
      <c r="AA272">
        <v>157.926860938022</v>
      </c>
      <c r="AB272">
        <v>17709</v>
      </c>
      <c r="AC272" t="s">
        <v>86</v>
      </c>
      <c r="AD272">
        <v>1</v>
      </c>
      <c r="AE272" t="s">
        <v>42</v>
      </c>
      <c r="AF272" t="s">
        <v>376</v>
      </c>
    </row>
    <row r="273" spans="1:32" x14ac:dyDescent="0.2">
      <c r="A273" t="s">
        <v>372</v>
      </c>
      <c r="B273" t="s">
        <v>252</v>
      </c>
      <c r="C273" t="s">
        <v>34</v>
      </c>
      <c r="D273" t="s">
        <v>373</v>
      </c>
      <c r="E273" t="s">
        <v>248</v>
      </c>
      <c r="G273">
        <v>0.40855797303128699</v>
      </c>
      <c r="H273">
        <v>1.9107435515899301E-2</v>
      </c>
      <c r="I273">
        <v>4.6767990780187299E-2</v>
      </c>
      <c r="K273">
        <v>4363.3720548270003</v>
      </c>
      <c r="L273">
        <v>224.027666128796</v>
      </c>
      <c r="M273">
        <v>5.1342783359710001E-2</v>
      </c>
      <c r="O273" s="1">
        <v>45149.820219907408</v>
      </c>
      <c r="P273" s="1">
        <v>45149.820462962962</v>
      </c>
      <c r="U273" t="s">
        <v>38</v>
      </c>
      <c r="AC273" t="s">
        <v>86</v>
      </c>
      <c r="AD273">
        <v>1</v>
      </c>
      <c r="AE273" t="s">
        <v>42</v>
      </c>
    </row>
    <row r="274" spans="1:32" x14ac:dyDescent="0.2">
      <c r="A274" t="s">
        <v>377</v>
      </c>
      <c r="B274" t="s">
        <v>252</v>
      </c>
      <c r="C274" t="s">
        <v>34</v>
      </c>
      <c r="D274" t="s">
        <v>378</v>
      </c>
      <c r="E274" t="s">
        <v>248</v>
      </c>
      <c r="F274">
        <v>1.2697872821276299</v>
      </c>
      <c r="J274">
        <v>16589.4661185962</v>
      </c>
      <c r="O274" s="1">
        <v>45149.820740740739</v>
      </c>
      <c r="P274" s="1">
        <v>45149.820983796293</v>
      </c>
      <c r="Q274" t="s">
        <v>37</v>
      </c>
      <c r="R274">
        <v>60854</v>
      </c>
      <c r="S274">
        <v>1</v>
      </c>
      <c r="T274" t="s">
        <v>299</v>
      </c>
      <c r="U274" t="s">
        <v>38</v>
      </c>
      <c r="V274">
        <v>0.99632510041876798</v>
      </c>
      <c r="W274">
        <v>196.194839254046</v>
      </c>
      <c r="X274" t="s">
        <v>80</v>
      </c>
      <c r="Y274" t="s">
        <v>154</v>
      </c>
      <c r="Z274">
        <v>1</v>
      </c>
      <c r="AA274">
        <v>250.044600501535</v>
      </c>
      <c r="AB274">
        <v>11701</v>
      </c>
      <c r="AC274" t="s">
        <v>86</v>
      </c>
      <c r="AD274">
        <v>1</v>
      </c>
      <c r="AE274" t="s">
        <v>42</v>
      </c>
      <c r="AF274" t="s">
        <v>379</v>
      </c>
    </row>
    <row r="275" spans="1:32" x14ac:dyDescent="0.2">
      <c r="A275" t="s">
        <v>377</v>
      </c>
      <c r="B275" t="s">
        <v>252</v>
      </c>
      <c r="C275" t="s">
        <v>34</v>
      </c>
      <c r="D275" t="s">
        <v>378</v>
      </c>
      <c r="E275" t="s">
        <v>248</v>
      </c>
      <c r="F275">
        <v>1.3291713717570299</v>
      </c>
      <c r="J275">
        <v>17625.3195111473</v>
      </c>
      <c r="O275" s="1">
        <v>45149.821261574078</v>
      </c>
      <c r="P275" s="1">
        <v>45149.821504629632</v>
      </c>
      <c r="Q275" t="s">
        <v>37</v>
      </c>
      <c r="R275">
        <v>60855</v>
      </c>
      <c r="S275">
        <v>1</v>
      </c>
      <c r="T275" t="s">
        <v>299</v>
      </c>
      <c r="U275" t="s">
        <v>38</v>
      </c>
      <c r="V275">
        <v>0.99864068871771605</v>
      </c>
      <c r="W275">
        <v>196.194839254046</v>
      </c>
      <c r="X275" t="s">
        <v>80</v>
      </c>
      <c r="Y275" t="s">
        <v>154</v>
      </c>
      <c r="Z275">
        <v>1</v>
      </c>
      <c r="AA275">
        <v>261.13152264784401</v>
      </c>
      <c r="AB275">
        <v>11035</v>
      </c>
      <c r="AC275" t="s">
        <v>86</v>
      </c>
      <c r="AD275">
        <v>1</v>
      </c>
      <c r="AE275" t="s">
        <v>42</v>
      </c>
      <c r="AF275" t="s">
        <v>380</v>
      </c>
    </row>
    <row r="276" spans="1:32" x14ac:dyDescent="0.2">
      <c r="A276" t="s">
        <v>377</v>
      </c>
      <c r="B276" t="s">
        <v>252</v>
      </c>
      <c r="C276" t="s">
        <v>34</v>
      </c>
      <c r="D276" t="s">
        <v>378</v>
      </c>
      <c r="E276" t="s">
        <v>248</v>
      </c>
      <c r="F276" t="s">
        <v>46</v>
      </c>
      <c r="J276" t="s">
        <v>46</v>
      </c>
      <c r="O276" s="1">
        <v>45149.821782407409</v>
      </c>
      <c r="P276" s="1">
        <v>45149.822025462963</v>
      </c>
      <c r="Q276" t="s">
        <v>37</v>
      </c>
      <c r="R276">
        <v>60856</v>
      </c>
      <c r="S276">
        <v>4</v>
      </c>
      <c r="T276" t="s">
        <v>305</v>
      </c>
      <c r="U276" t="s">
        <v>38</v>
      </c>
      <c r="V276" t="s">
        <v>46</v>
      </c>
      <c r="W276">
        <v>196.194839254046</v>
      </c>
      <c r="X276" t="s">
        <v>80</v>
      </c>
      <c r="Y276" t="s">
        <v>55</v>
      </c>
      <c r="Z276" t="s">
        <v>46</v>
      </c>
      <c r="AA276" t="s">
        <v>46</v>
      </c>
      <c r="AB276" t="s">
        <v>46</v>
      </c>
      <c r="AC276" t="s">
        <v>86</v>
      </c>
      <c r="AD276">
        <v>1</v>
      </c>
      <c r="AE276" t="s">
        <v>42</v>
      </c>
    </row>
    <row r="277" spans="1:32" x14ac:dyDescent="0.2">
      <c r="A277" t="s">
        <v>377</v>
      </c>
      <c r="B277" t="s">
        <v>252</v>
      </c>
      <c r="C277" t="s">
        <v>34</v>
      </c>
      <c r="D277" t="s">
        <v>378</v>
      </c>
      <c r="E277" t="s">
        <v>248</v>
      </c>
      <c r="G277">
        <v>1.2994793269423299</v>
      </c>
      <c r="H277">
        <v>4.1990892471534702E-2</v>
      </c>
      <c r="I277">
        <v>3.2313628697994902E-2</v>
      </c>
      <c r="K277" t="s">
        <v>46</v>
      </c>
      <c r="L277" t="s">
        <v>46</v>
      </c>
      <c r="M277" t="s">
        <v>46</v>
      </c>
      <c r="O277" s="1">
        <v>45149.821782407409</v>
      </c>
      <c r="P277" s="1">
        <v>45149.822025462963</v>
      </c>
      <c r="U277" t="s">
        <v>38</v>
      </c>
      <c r="AC277" t="s">
        <v>86</v>
      </c>
      <c r="AD277">
        <v>1</v>
      </c>
      <c r="AE277" t="s">
        <v>42</v>
      </c>
    </row>
    <row r="278" spans="1:32" x14ac:dyDescent="0.2">
      <c r="A278" t="s">
        <v>381</v>
      </c>
      <c r="B278" t="s">
        <v>252</v>
      </c>
      <c r="C278" t="s">
        <v>34</v>
      </c>
      <c r="D278" t="s">
        <v>382</v>
      </c>
      <c r="E278" t="s">
        <v>248</v>
      </c>
      <c r="F278">
        <v>0.57301580696103604</v>
      </c>
      <c r="J278">
        <v>6356.9940098052002</v>
      </c>
      <c r="O278" s="1">
        <v>45149.82230324074</v>
      </c>
      <c r="P278" s="1">
        <v>45149.822546296295</v>
      </c>
      <c r="Q278" t="s">
        <v>37</v>
      </c>
      <c r="R278">
        <v>60857</v>
      </c>
      <c r="S278">
        <v>1</v>
      </c>
      <c r="T278" t="s">
        <v>299</v>
      </c>
      <c r="U278" t="s">
        <v>38</v>
      </c>
      <c r="V278">
        <v>0.82108406063390005</v>
      </c>
      <c r="W278">
        <v>196.194839254046</v>
      </c>
      <c r="X278" t="s">
        <v>80</v>
      </c>
      <c r="Y278" t="s">
        <v>154</v>
      </c>
      <c r="Z278">
        <v>1</v>
      </c>
      <c r="AA278">
        <v>136.91989593605601</v>
      </c>
      <c r="AB278">
        <v>13062</v>
      </c>
      <c r="AC278" t="s">
        <v>86</v>
      </c>
      <c r="AD278">
        <v>1</v>
      </c>
      <c r="AE278" t="s">
        <v>42</v>
      </c>
      <c r="AF278" t="s">
        <v>383</v>
      </c>
    </row>
    <row r="279" spans="1:32" x14ac:dyDescent="0.2">
      <c r="A279" t="s">
        <v>381</v>
      </c>
      <c r="B279" t="s">
        <v>252</v>
      </c>
      <c r="C279" t="s">
        <v>34</v>
      </c>
      <c r="D279" t="s">
        <v>382</v>
      </c>
      <c r="E279" t="s">
        <v>248</v>
      </c>
      <c r="F279">
        <v>0.55131124878597904</v>
      </c>
      <c r="J279">
        <v>6085.9624866353897</v>
      </c>
      <c r="O279" s="1">
        <v>45149.822824074072</v>
      </c>
      <c r="P279" s="1">
        <v>45149.823067129626</v>
      </c>
      <c r="Q279" t="s">
        <v>37</v>
      </c>
      <c r="R279">
        <v>60858</v>
      </c>
      <c r="S279">
        <v>1</v>
      </c>
      <c r="T279" t="s">
        <v>299</v>
      </c>
      <c r="U279" t="s">
        <v>38</v>
      </c>
      <c r="V279">
        <v>0.81744391971664698</v>
      </c>
      <c r="W279">
        <v>196.194839254046</v>
      </c>
      <c r="X279" t="s">
        <v>80</v>
      </c>
      <c r="Y279" t="s">
        <v>154</v>
      </c>
      <c r="Z279">
        <v>1</v>
      </c>
      <c r="AA279">
        <v>132.32029650670799</v>
      </c>
      <c r="AB279">
        <v>13552</v>
      </c>
      <c r="AC279" t="s">
        <v>86</v>
      </c>
      <c r="AD279">
        <v>1</v>
      </c>
      <c r="AE279" t="s">
        <v>42</v>
      </c>
      <c r="AF279" t="s">
        <v>384</v>
      </c>
    </row>
    <row r="280" spans="1:32" x14ac:dyDescent="0.2">
      <c r="A280" t="s">
        <v>381</v>
      </c>
      <c r="B280" t="s">
        <v>252</v>
      </c>
      <c r="C280" t="s">
        <v>34</v>
      </c>
      <c r="D280" t="s">
        <v>382</v>
      </c>
      <c r="E280" t="s">
        <v>248</v>
      </c>
      <c r="F280">
        <v>0.53404789878717196</v>
      </c>
      <c r="J280">
        <v>5872.1363932999002</v>
      </c>
      <c r="O280" s="1">
        <v>45149.823344907411</v>
      </c>
      <c r="P280" s="1">
        <v>45149.823587962965</v>
      </c>
      <c r="Q280" t="s">
        <v>37</v>
      </c>
      <c r="R280">
        <v>60859</v>
      </c>
      <c r="S280">
        <v>1</v>
      </c>
      <c r="T280" t="s">
        <v>299</v>
      </c>
      <c r="U280" t="s">
        <v>38</v>
      </c>
      <c r="V280">
        <v>0.79467704087933799</v>
      </c>
      <c r="W280">
        <v>196.194839254046</v>
      </c>
      <c r="X280" t="s">
        <v>80</v>
      </c>
      <c r="Y280" t="s">
        <v>154</v>
      </c>
      <c r="Z280">
        <v>1</v>
      </c>
      <c r="AA280">
        <v>131.84908619049801</v>
      </c>
      <c r="AB280">
        <v>16194</v>
      </c>
      <c r="AC280" t="s">
        <v>86</v>
      </c>
      <c r="AD280">
        <v>1</v>
      </c>
      <c r="AE280" t="s">
        <v>42</v>
      </c>
      <c r="AF280" t="s">
        <v>385</v>
      </c>
    </row>
    <row r="281" spans="1:32" x14ac:dyDescent="0.2">
      <c r="A281" t="s">
        <v>381</v>
      </c>
      <c r="B281" t="s">
        <v>252</v>
      </c>
      <c r="C281" t="s">
        <v>34</v>
      </c>
      <c r="D281" t="s">
        <v>382</v>
      </c>
      <c r="E281" t="s">
        <v>248</v>
      </c>
      <c r="G281">
        <v>0.55279165151139598</v>
      </c>
      <c r="H281">
        <v>1.95260892406478E-2</v>
      </c>
      <c r="I281">
        <v>3.5322691989398199E-2</v>
      </c>
      <c r="K281" t="s">
        <v>46</v>
      </c>
      <c r="L281" t="s">
        <v>46</v>
      </c>
      <c r="M281" t="s">
        <v>46</v>
      </c>
      <c r="O281" s="1">
        <v>45149.823344907411</v>
      </c>
      <c r="P281" s="1">
        <v>45149.823587962965</v>
      </c>
      <c r="U281" t="s">
        <v>38</v>
      </c>
      <c r="AC281" t="s">
        <v>86</v>
      </c>
      <c r="AD281">
        <v>1</v>
      </c>
      <c r="AE281" t="s">
        <v>42</v>
      </c>
    </row>
    <row r="282" spans="1:32" x14ac:dyDescent="0.2">
      <c r="A282" t="s">
        <v>386</v>
      </c>
      <c r="B282" t="s">
        <v>252</v>
      </c>
      <c r="C282" t="s">
        <v>34</v>
      </c>
      <c r="D282" t="s">
        <v>387</v>
      </c>
      <c r="E282" t="s">
        <v>248</v>
      </c>
      <c r="F282">
        <v>0.199373290090541</v>
      </c>
      <c r="J282">
        <v>2010.91423907375</v>
      </c>
      <c r="O282" s="1">
        <v>45149.823865740742</v>
      </c>
      <c r="P282" s="1">
        <v>45149.824108796296</v>
      </c>
      <c r="Q282" t="s">
        <v>37</v>
      </c>
      <c r="R282">
        <v>60860</v>
      </c>
      <c r="S282">
        <v>0</v>
      </c>
      <c r="U282" t="s">
        <v>38</v>
      </c>
      <c r="V282">
        <v>0.18075597942777299</v>
      </c>
      <c r="W282">
        <v>196.194839254046</v>
      </c>
      <c r="X282" t="s">
        <v>39</v>
      </c>
      <c r="Y282" t="s">
        <v>40</v>
      </c>
      <c r="Z282">
        <v>1</v>
      </c>
      <c r="AA282">
        <v>218.71148952380199</v>
      </c>
      <c r="AB282">
        <v>20027</v>
      </c>
      <c r="AC282" t="s">
        <v>86</v>
      </c>
      <c r="AD282">
        <v>1</v>
      </c>
      <c r="AE282" t="s">
        <v>42</v>
      </c>
      <c r="AF282" t="s">
        <v>388</v>
      </c>
    </row>
    <row r="283" spans="1:32" x14ac:dyDescent="0.2">
      <c r="A283" t="s">
        <v>386</v>
      </c>
      <c r="B283" t="s">
        <v>252</v>
      </c>
      <c r="C283" t="s">
        <v>34</v>
      </c>
      <c r="D283" t="s">
        <v>387</v>
      </c>
      <c r="E283" t="s">
        <v>248</v>
      </c>
      <c r="F283">
        <v>0.20971374110170701</v>
      </c>
      <c r="J283">
        <v>2122.6441705055099</v>
      </c>
      <c r="O283" s="1">
        <v>45149.824386574073</v>
      </c>
      <c r="P283" s="1">
        <v>45149.824629629627</v>
      </c>
      <c r="Q283" t="s">
        <v>37</v>
      </c>
      <c r="R283">
        <v>60861</v>
      </c>
      <c r="S283">
        <v>0</v>
      </c>
      <c r="U283" t="s">
        <v>38</v>
      </c>
      <c r="V283">
        <v>0.189183683862097</v>
      </c>
      <c r="W283">
        <v>196.194839254046</v>
      </c>
      <c r="X283" t="s">
        <v>39</v>
      </c>
      <c r="Y283" t="s">
        <v>40</v>
      </c>
      <c r="Z283">
        <v>1</v>
      </c>
      <c r="AA283">
        <v>222.46450658226499</v>
      </c>
      <c r="AB283">
        <v>19637</v>
      </c>
      <c r="AC283" t="s">
        <v>86</v>
      </c>
      <c r="AD283">
        <v>1</v>
      </c>
      <c r="AE283" t="s">
        <v>42</v>
      </c>
      <c r="AF283" t="s">
        <v>389</v>
      </c>
    </row>
    <row r="284" spans="1:32" x14ac:dyDescent="0.2">
      <c r="A284" t="s">
        <v>386</v>
      </c>
      <c r="B284" t="s">
        <v>252</v>
      </c>
      <c r="C284" t="s">
        <v>34</v>
      </c>
      <c r="D284" t="s">
        <v>387</v>
      </c>
      <c r="E284" t="s">
        <v>248</v>
      </c>
      <c r="F284">
        <v>0.21141340158427199</v>
      </c>
      <c r="J284">
        <v>2141.0526906867199</v>
      </c>
      <c r="O284" s="1">
        <v>45149.824907407405</v>
      </c>
      <c r="P284" s="1">
        <v>45149.825150462966</v>
      </c>
      <c r="Q284" t="s">
        <v>37</v>
      </c>
      <c r="R284">
        <v>60862</v>
      </c>
      <c r="S284">
        <v>0</v>
      </c>
      <c r="U284" t="s">
        <v>38</v>
      </c>
      <c r="V284">
        <v>0.19056062581486299</v>
      </c>
      <c r="W284">
        <v>196.194839254046</v>
      </c>
      <c r="X284" t="s">
        <v>39</v>
      </c>
      <c r="Y284" t="s">
        <v>40</v>
      </c>
      <c r="Z284">
        <v>1</v>
      </c>
      <c r="AA284">
        <v>211.36599503593001</v>
      </c>
      <c r="AB284">
        <v>19175</v>
      </c>
      <c r="AC284" t="s">
        <v>86</v>
      </c>
      <c r="AD284">
        <v>1</v>
      </c>
      <c r="AE284" t="s">
        <v>42</v>
      </c>
      <c r="AF284" t="s">
        <v>390</v>
      </c>
    </row>
    <row r="285" spans="1:32" x14ac:dyDescent="0.2">
      <c r="A285" t="s">
        <v>386</v>
      </c>
      <c r="B285" t="s">
        <v>252</v>
      </c>
      <c r="C285" t="s">
        <v>34</v>
      </c>
      <c r="D285" t="s">
        <v>387</v>
      </c>
      <c r="E285" t="s">
        <v>248</v>
      </c>
      <c r="G285">
        <v>0.20683347759217299</v>
      </c>
      <c r="H285">
        <v>6.5163647541119397E-3</v>
      </c>
      <c r="I285">
        <v>3.1505367651172303E-2</v>
      </c>
      <c r="K285">
        <v>2091.5370334220001</v>
      </c>
      <c r="L285">
        <v>70.425454419583104</v>
      </c>
      <c r="M285">
        <v>3.3671626796088303E-2</v>
      </c>
      <c r="O285" s="1">
        <v>45149.824907407405</v>
      </c>
      <c r="P285" s="1">
        <v>45149.825150462966</v>
      </c>
      <c r="U285" t="s">
        <v>38</v>
      </c>
      <c r="AC285" t="s">
        <v>86</v>
      </c>
      <c r="AD285">
        <v>1</v>
      </c>
      <c r="AE285" t="s">
        <v>42</v>
      </c>
    </row>
    <row r="286" spans="1:32" x14ac:dyDescent="0.2">
      <c r="A286" t="s">
        <v>391</v>
      </c>
      <c r="B286" t="s">
        <v>252</v>
      </c>
      <c r="C286" t="s">
        <v>34</v>
      </c>
      <c r="D286" t="s">
        <v>392</v>
      </c>
      <c r="E286" t="s">
        <v>248</v>
      </c>
      <c r="F286">
        <v>0.22064691799869299</v>
      </c>
      <c r="J286">
        <v>2241.2733935449</v>
      </c>
      <c r="O286" s="1">
        <v>45149.825428240743</v>
      </c>
      <c r="P286" s="1">
        <v>45149.825671296298</v>
      </c>
      <c r="Q286" t="s">
        <v>37</v>
      </c>
      <c r="R286">
        <v>60863</v>
      </c>
      <c r="S286">
        <v>0</v>
      </c>
      <c r="U286" t="s">
        <v>38</v>
      </c>
      <c r="V286">
        <v>0.198000198000198</v>
      </c>
      <c r="W286">
        <v>196.194839254046</v>
      </c>
      <c r="X286" t="s">
        <v>39</v>
      </c>
      <c r="Y286" t="s">
        <v>40</v>
      </c>
      <c r="Z286">
        <v>1</v>
      </c>
      <c r="AA286">
        <v>215.03964876443999</v>
      </c>
      <c r="AB286">
        <v>20202</v>
      </c>
      <c r="AC286" t="s">
        <v>86</v>
      </c>
      <c r="AD286">
        <v>1</v>
      </c>
      <c r="AE286" t="s">
        <v>42</v>
      </c>
      <c r="AF286" t="s">
        <v>393</v>
      </c>
    </row>
    <row r="287" spans="1:32" x14ac:dyDescent="0.2">
      <c r="A287" t="s">
        <v>391</v>
      </c>
      <c r="B287" t="s">
        <v>252</v>
      </c>
      <c r="C287" t="s">
        <v>34</v>
      </c>
      <c r="D287" t="s">
        <v>392</v>
      </c>
      <c r="E287" t="s">
        <v>248</v>
      </c>
      <c r="F287">
        <v>0.224984307670862</v>
      </c>
      <c r="J287">
        <v>2288.4772999720999</v>
      </c>
      <c r="O287" s="1">
        <v>45149.825949074075</v>
      </c>
      <c r="P287" s="1">
        <v>45149.826203703706</v>
      </c>
      <c r="Q287" t="s">
        <v>37</v>
      </c>
      <c r="R287">
        <v>60864</v>
      </c>
      <c r="S287">
        <v>0</v>
      </c>
      <c r="U287" t="s">
        <v>38</v>
      </c>
      <c r="V287">
        <v>0.20147125056297899</v>
      </c>
      <c r="W287">
        <v>196.194839254046</v>
      </c>
      <c r="X287" t="s">
        <v>39</v>
      </c>
      <c r="Y287" t="s">
        <v>40</v>
      </c>
      <c r="Z287">
        <v>1</v>
      </c>
      <c r="AA287">
        <v>226.32265103805901</v>
      </c>
      <c r="AB287">
        <v>19983</v>
      </c>
      <c r="AC287" t="s">
        <v>86</v>
      </c>
      <c r="AD287">
        <v>1</v>
      </c>
      <c r="AE287" t="s">
        <v>42</v>
      </c>
      <c r="AF287" t="s">
        <v>394</v>
      </c>
    </row>
    <row r="288" spans="1:32" x14ac:dyDescent="0.2">
      <c r="A288" t="s">
        <v>391</v>
      </c>
      <c r="B288" t="s">
        <v>252</v>
      </c>
      <c r="C288" t="s">
        <v>34</v>
      </c>
      <c r="D288" t="s">
        <v>392</v>
      </c>
      <c r="E288" t="s">
        <v>248</v>
      </c>
      <c r="F288">
        <v>0.20746628213837701</v>
      </c>
      <c r="J288">
        <v>2098.3214752397498</v>
      </c>
      <c r="O288" s="1">
        <v>45149.826469907406</v>
      </c>
      <c r="P288" s="1">
        <v>45149.826724537037</v>
      </c>
      <c r="Q288" t="s">
        <v>37</v>
      </c>
      <c r="R288">
        <v>60865</v>
      </c>
      <c r="S288">
        <v>0</v>
      </c>
      <c r="U288" t="s">
        <v>38</v>
      </c>
      <c r="V288">
        <v>0.18735935818413099</v>
      </c>
      <c r="W288">
        <v>196.194839254046</v>
      </c>
      <c r="X288" t="s">
        <v>39</v>
      </c>
      <c r="Y288" t="s">
        <v>40</v>
      </c>
      <c r="Z288">
        <v>1</v>
      </c>
      <c r="AA288">
        <v>204.12412697414999</v>
      </c>
      <c r="AB288">
        <v>20442</v>
      </c>
      <c r="AC288" t="s">
        <v>86</v>
      </c>
      <c r="AD288">
        <v>1</v>
      </c>
      <c r="AE288" t="s">
        <v>42</v>
      </c>
      <c r="AF288" t="s">
        <v>395</v>
      </c>
    </row>
    <row r="289" spans="1:32" x14ac:dyDescent="0.2">
      <c r="A289" t="s">
        <v>391</v>
      </c>
      <c r="B289" t="s">
        <v>252</v>
      </c>
      <c r="C289" t="s">
        <v>34</v>
      </c>
      <c r="D289" t="s">
        <v>392</v>
      </c>
      <c r="E289" t="s">
        <v>248</v>
      </c>
      <c r="G289">
        <v>0.21769916926931099</v>
      </c>
      <c r="H289">
        <v>9.1234435148070392E-3</v>
      </c>
      <c r="I289">
        <v>4.1908490259421401E-2</v>
      </c>
      <c r="K289">
        <v>2209.3573895855802</v>
      </c>
      <c r="L289">
        <v>99.014054060309903</v>
      </c>
      <c r="M289">
        <v>4.4815770652154398E-2</v>
      </c>
      <c r="O289" s="1">
        <v>45149.826469907406</v>
      </c>
      <c r="P289" s="1">
        <v>45149.826724537037</v>
      </c>
      <c r="U289" t="s">
        <v>38</v>
      </c>
      <c r="AC289" t="s">
        <v>86</v>
      </c>
      <c r="AD289">
        <v>1</v>
      </c>
      <c r="AE289" t="s">
        <v>42</v>
      </c>
    </row>
    <row r="290" spans="1:32" x14ac:dyDescent="0.2">
      <c r="A290" t="s">
        <v>396</v>
      </c>
      <c r="B290" t="s">
        <v>252</v>
      </c>
      <c r="C290" t="s">
        <v>34</v>
      </c>
      <c r="D290" t="s">
        <v>397</v>
      </c>
      <c r="E290" t="s">
        <v>248</v>
      </c>
      <c r="F290">
        <v>0.224436552276958</v>
      </c>
      <c r="J290">
        <v>2282.5116186247401</v>
      </c>
      <c r="O290" s="1">
        <v>45149.829594907409</v>
      </c>
      <c r="P290" s="1">
        <v>45149.829837962963</v>
      </c>
      <c r="Q290" t="s">
        <v>37</v>
      </c>
      <c r="R290">
        <v>60866</v>
      </c>
      <c r="S290">
        <v>0</v>
      </c>
      <c r="U290" t="s">
        <v>38</v>
      </c>
      <c r="V290">
        <v>0.201033732317737</v>
      </c>
      <c r="W290">
        <v>196.194839254046</v>
      </c>
      <c r="X290" t="s">
        <v>39</v>
      </c>
      <c r="Y290" t="s">
        <v>40</v>
      </c>
      <c r="Z290">
        <v>1</v>
      </c>
      <c r="AA290">
        <v>201.90657504936601</v>
      </c>
      <c r="AB290">
        <v>18380</v>
      </c>
      <c r="AC290" t="s">
        <v>86</v>
      </c>
      <c r="AD290">
        <v>1</v>
      </c>
      <c r="AE290" t="s">
        <v>42</v>
      </c>
      <c r="AF290" t="s">
        <v>398</v>
      </c>
    </row>
    <row r="291" spans="1:32" x14ac:dyDescent="0.2">
      <c r="A291" t="s">
        <v>396</v>
      </c>
      <c r="B291" t="s">
        <v>252</v>
      </c>
      <c r="C291" t="s">
        <v>34</v>
      </c>
      <c r="D291" t="s">
        <v>397</v>
      </c>
      <c r="E291" t="s">
        <v>248</v>
      </c>
      <c r="F291">
        <v>0.20296079312640999</v>
      </c>
      <c r="J291">
        <v>2049.6262998561101</v>
      </c>
      <c r="O291" s="1">
        <v>45149.83011574074</v>
      </c>
      <c r="P291" s="1">
        <v>45149.830358796295</v>
      </c>
      <c r="Q291" t="s">
        <v>37</v>
      </c>
      <c r="R291">
        <v>60867</v>
      </c>
      <c r="S291">
        <v>0</v>
      </c>
      <c r="U291" t="s">
        <v>38</v>
      </c>
      <c r="V291">
        <v>0.183689754229173</v>
      </c>
      <c r="W291">
        <v>196.194839254046</v>
      </c>
      <c r="X291" t="s">
        <v>39</v>
      </c>
      <c r="Y291" t="s">
        <v>40</v>
      </c>
      <c r="Z291">
        <v>1</v>
      </c>
      <c r="AA291">
        <v>226.12094840155501</v>
      </c>
      <c r="AB291">
        <v>18798</v>
      </c>
      <c r="AC291" t="s">
        <v>86</v>
      </c>
      <c r="AD291">
        <v>1</v>
      </c>
      <c r="AE291" t="s">
        <v>42</v>
      </c>
      <c r="AF291" t="s">
        <v>399</v>
      </c>
    </row>
    <row r="292" spans="1:32" x14ac:dyDescent="0.2">
      <c r="A292" t="s">
        <v>396</v>
      </c>
      <c r="B292" t="s">
        <v>252</v>
      </c>
      <c r="C292" t="s">
        <v>34</v>
      </c>
      <c r="D292" t="s">
        <v>397</v>
      </c>
      <c r="E292" t="s">
        <v>248</v>
      </c>
      <c r="F292">
        <v>0.20579958624238601</v>
      </c>
      <c r="J292">
        <v>2080.2978394822098</v>
      </c>
      <c r="O292" s="1">
        <v>45149.830636574072</v>
      </c>
      <c r="P292" s="1">
        <v>45149.830891203703</v>
      </c>
      <c r="Q292" t="s">
        <v>37</v>
      </c>
      <c r="R292">
        <v>60868</v>
      </c>
      <c r="S292">
        <v>0</v>
      </c>
      <c r="U292" t="s">
        <v>38</v>
      </c>
      <c r="V292">
        <v>0.18600380402702199</v>
      </c>
      <c r="W292">
        <v>196.194839254046</v>
      </c>
      <c r="X292" t="s">
        <v>39</v>
      </c>
      <c r="Y292" t="s">
        <v>40</v>
      </c>
      <c r="Z292">
        <v>1</v>
      </c>
      <c r="AA292">
        <v>185.437248941988</v>
      </c>
      <c r="AB292">
        <v>15247</v>
      </c>
      <c r="AC292" t="s">
        <v>86</v>
      </c>
      <c r="AD292">
        <v>1</v>
      </c>
      <c r="AE292" t="s">
        <v>42</v>
      </c>
      <c r="AF292" t="s">
        <v>400</v>
      </c>
    </row>
    <row r="293" spans="1:32" x14ac:dyDescent="0.2">
      <c r="A293" t="s">
        <v>396</v>
      </c>
      <c r="B293" t="s">
        <v>252</v>
      </c>
      <c r="C293" t="s">
        <v>34</v>
      </c>
      <c r="D293" t="s">
        <v>397</v>
      </c>
      <c r="E293" t="s">
        <v>248</v>
      </c>
      <c r="G293">
        <v>0.21106564388191801</v>
      </c>
      <c r="H293">
        <v>1.16662153276131E-2</v>
      </c>
      <c r="I293">
        <v>5.5272924162588298E-2</v>
      </c>
      <c r="K293">
        <v>2137.4785859876902</v>
      </c>
      <c r="L293">
        <v>126.53505938151601</v>
      </c>
      <c r="M293">
        <v>5.9198281662806503E-2</v>
      </c>
      <c r="O293" s="1">
        <v>45149.830636574072</v>
      </c>
      <c r="P293" s="1">
        <v>45149.830891203703</v>
      </c>
      <c r="U293" t="s">
        <v>38</v>
      </c>
      <c r="AC293" t="s">
        <v>86</v>
      </c>
      <c r="AD293">
        <v>1</v>
      </c>
      <c r="AE293" t="s">
        <v>42</v>
      </c>
    </row>
    <row r="294" spans="1:32" x14ac:dyDescent="0.2">
      <c r="A294" t="s">
        <v>401</v>
      </c>
      <c r="B294" t="s">
        <v>252</v>
      </c>
      <c r="C294" t="s">
        <v>34</v>
      </c>
      <c r="D294" t="s">
        <v>402</v>
      </c>
      <c r="E294" t="s">
        <v>248</v>
      </c>
      <c r="F294">
        <v>0.32062312727575099</v>
      </c>
      <c r="J294">
        <v>3350.1647939006798</v>
      </c>
      <c r="O294" s="1">
        <v>45149.831157407411</v>
      </c>
      <c r="P294" s="1">
        <v>45149.831412037034</v>
      </c>
      <c r="Q294" t="s">
        <v>37</v>
      </c>
      <c r="R294">
        <v>60869</v>
      </c>
      <c r="S294">
        <v>0</v>
      </c>
      <c r="U294" t="s">
        <v>38</v>
      </c>
      <c r="V294">
        <v>0.27430330524951402</v>
      </c>
      <c r="W294">
        <v>196.194839254046</v>
      </c>
      <c r="X294" t="s">
        <v>39</v>
      </c>
      <c r="Y294" t="s">
        <v>40</v>
      </c>
      <c r="Z294">
        <v>1</v>
      </c>
      <c r="AA294">
        <v>172.73583547771699</v>
      </c>
      <c r="AB294">
        <v>18516</v>
      </c>
      <c r="AC294" t="s">
        <v>86</v>
      </c>
      <c r="AD294">
        <v>1</v>
      </c>
      <c r="AE294" t="s">
        <v>42</v>
      </c>
      <c r="AF294" t="s">
        <v>403</v>
      </c>
    </row>
    <row r="295" spans="1:32" x14ac:dyDescent="0.2">
      <c r="A295" t="s">
        <v>401</v>
      </c>
      <c r="B295" t="s">
        <v>252</v>
      </c>
      <c r="C295" t="s">
        <v>34</v>
      </c>
      <c r="D295" t="s">
        <v>402</v>
      </c>
      <c r="E295" t="s">
        <v>248</v>
      </c>
      <c r="F295">
        <v>0.28759283056157797</v>
      </c>
      <c r="J295">
        <v>2978.9304212457901</v>
      </c>
      <c r="O295" s="1">
        <v>45149.831678240742</v>
      </c>
      <c r="P295" s="1">
        <v>45149.831921296296</v>
      </c>
      <c r="Q295" t="s">
        <v>37</v>
      </c>
      <c r="R295">
        <v>60870</v>
      </c>
      <c r="S295">
        <v>0</v>
      </c>
      <c r="U295" t="s">
        <v>38</v>
      </c>
      <c r="V295">
        <v>0.24993306559571599</v>
      </c>
      <c r="W295">
        <v>196.194839254046</v>
      </c>
      <c r="X295" t="s">
        <v>39</v>
      </c>
      <c r="Y295" t="s">
        <v>40</v>
      </c>
      <c r="Z295">
        <v>1</v>
      </c>
      <c r="AA295">
        <v>180.538238331624</v>
      </c>
      <c r="AB295">
        <v>14940</v>
      </c>
      <c r="AC295" t="s">
        <v>86</v>
      </c>
      <c r="AD295">
        <v>1</v>
      </c>
      <c r="AE295" t="s">
        <v>42</v>
      </c>
      <c r="AF295" t="s">
        <v>404</v>
      </c>
    </row>
    <row r="296" spans="1:32" x14ac:dyDescent="0.2">
      <c r="A296" t="s">
        <v>401</v>
      </c>
      <c r="B296" t="s">
        <v>252</v>
      </c>
      <c r="C296" t="s">
        <v>34</v>
      </c>
      <c r="D296" t="s">
        <v>402</v>
      </c>
      <c r="E296" t="s">
        <v>248</v>
      </c>
      <c r="F296">
        <v>0.29505593481504899</v>
      </c>
      <c r="J296">
        <v>3062.38311179527</v>
      </c>
      <c r="O296" s="1">
        <v>45149.832199074073</v>
      </c>
      <c r="P296" s="1">
        <v>45149.832453703704</v>
      </c>
      <c r="Q296" t="s">
        <v>37</v>
      </c>
      <c r="R296">
        <v>60871</v>
      </c>
      <c r="S296">
        <v>0</v>
      </c>
      <c r="U296" t="s">
        <v>38</v>
      </c>
      <c r="V296">
        <v>0.25551005660604598</v>
      </c>
      <c r="W296">
        <v>196.194839254046</v>
      </c>
      <c r="X296" t="s">
        <v>39</v>
      </c>
      <c r="Y296" t="s">
        <v>40</v>
      </c>
      <c r="Z296">
        <v>1</v>
      </c>
      <c r="AA296">
        <v>188.825440018975</v>
      </c>
      <c r="AB296">
        <v>16606</v>
      </c>
      <c r="AC296" t="s">
        <v>86</v>
      </c>
      <c r="AD296">
        <v>1</v>
      </c>
      <c r="AE296" t="s">
        <v>42</v>
      </c>
      <c r="AF296" t="s">
        <v>405</v>
      </c>
    </row>
    <row r="297" spans="1:32" x14ac:dyDescent="0.2">
      <c r="A297" t="s">
        <v>401</v>
      </c>
      <c r="B297" t="s">
        <v>252</v>
      </c>
      <c r="C297" t="s">
        <v>34</v>
      </c>
      <c r="D297" t="s">
        <v>402</v>
      </c>
      <c r="E297" t="s">
        <v>248</v>
      </c>
      <c r="G297">
        <v>0.30109063088412602</v>
      </c>
      <c r="H297">
        <v>1.73223350833881E-2</v>
      </c>
      <c r="I297">
        <v>5.75319631584768E-2</v>
      </c>
      <c r="K297">
        <v>3130.4927756472398</v>
      </c>
      <c r="L297">
        <v>194.76379179056499</v>
      </c>
      <c r="M297">
        <v>6.2215058698002097E-2</v>
      </c>
      <c r="O297" s="1">
        <v>45149.832199074073</v>
      </c>
      <c r="P297" s="1">
        <v>45149.832453703704</v>
      </c>
      <c r="U297" t="s">
        <v>38</v>
      </c>
      <c r="AC297" t="s">
        <v>86</v>
      </c>
      <c r="AD297">
        <v>1</v>
      </c>
      <c r="AE297" t="s">
        <v>42</v>
      </c>
    </row>
    <row r="298" spans="1:32" x14ac:dyDescent="0.2">
      <c r="A298" t="s">
        <v>406</v>
      </c>
      <c r="B298" t="s">
        <v>252</v>
      </c>
      <c r="C298" t="s">
        <v>34</v>
      </c>
      <c r="D298" t="s">
        <v>407</v>
      </c>
      <c r="E298" t="s">
        <v>248</v>
      </c>
      <c r="F298">
        <v>1.1755115295605201</v>
      </c>
      <c r="J298">
        <v>15005.400939151101</v>
      </c>
      <c r="O298" s="1">
        <v>45149.832719907405</v>
      </c>
      <c r="P298" s="1">
        <v>45149.832962962966</v>
      </c>
      <c r="Q298" t="s">
        <v>37</v>
      </c>
      <c r="R298">
        <v>60872</v>
      </c>
      <c r="S298">
        <v>1</v>
      </c>
      <c r="T298" t="s">
        <v>299</v>
      </c>
      <c r="U298" t="s">
        <v>38</v>
      </c>
      <c r="V298">
        <v>0.99570621468926601</v>
      </c>
      <c r="W298">
        <v>196.194839254046</v>
      </c>
      <c r="X298" t="s">
        <v>80</v>
      </c>
      <c r="Y298" t="s">
        <v>154</v>
      </c>
      <c r="Z298">
        <v>1</v>
      </c>
      <c r="AA298">
        <v>231.62383861928299</v>
      </c>
      <c r="AB298">
        <v>13275</v>
      </c>
      <c r="AC298" t="s">
        <v>86</v>
      </c>
      <c r="AD298">
        <v>1</v>
      </c>
      <c r="AE298" t="s">
        <v>42</v>
      </c>
      <c r="AF298" t="s">
        <v>408</v>
      </c>
    </row>
    <row r="299" spans="1:32" x14ac:dyDescent="0.2">
      <c r="A299" t="s">
        <v>406</v>
      </c>
      <c r="B299" t="s">
        <v>252</v>
      </c>
      <c r="C299" t="s">
        <v>34</v>
      </c>
      <c r="D299" t="s">
        <v>407</v>
      </c>
      <c r="E299" t="s">
        <v>248</v>
      </c>
      <c r="F299">
        <v>1.0786955044453901</v>
      </c>
      <c r="J299">
        <v>13451.305672149299</v>
      </c>
      <c r="O299" s="1">
        <v>45149.833240740743</v>
      </c>
      <c r="P299" s="1">
        <v>45149.833483796298</v>
      </c>
      <c r="Q299" t="s">
        <v>37</v>
      </c>
      <c r="R299">
        <v>60873</v>
      </c>
      <c r="S299">
        <v>1</v>
      </c>
      <c r="T299" t="s">
        <v>299</v>
      </c>
      <c r="U299" t="s">
        <v>38</v>
      </c>
      <c r="V299">
        <v>0.99008369083620495</v>
      </c>
      <c r="W299">
        <v>196.194839254046</v>
      </c>
      <c r="X299" t="s">
        <v>80</v>
      </c>
      <c r="Y299" t="s">
        <v>154</v>
      </c>
      <c r="Z299">
        <v>1</v>
      </c>
      <c r="AA299">
        <v>213.75414326841701</v>
      </c>
      <c r="AB299">
        <v>14219</v>
      </c>
      <c r="AC299" t="s">
        <v>86</v>
      </c>
      <c r="AD299">
        <v>1</v>
      </c>
      <c r="AE299" t="s">
        <v>42</v>
      </c>
      <c r="AF299" t="s">
        <v>409</v>
      </c>
    </row>
    <row r="300" spans="1:32" x14ac:dyDescent="0.2">
      <c r="A300" t="s">
        <v>406</v>
      </c>
      <c r="B300" t="s">
        <v>252</v>
      </c>
      <c r="C300" t="s">
        <v>34</v>
      </c>
      <c r="D300" t="s">
        <v>407</v>
      </c>
      <c r="E300" t="s">
        <v>248</v>
      </c>
      <c r="F300">
        <v>1.01637105819704</v>
      </c>
      <c r="J300">
        <v>12487.554675012199</v>
      </c>
      <c r="O300" s="1">
        <v>45149.833761574075</v>
      </c>
      <c r="P300" s="1">
        <v>45149.834004629629</v>
      </c>
      <c r="Q300" t="s">
        <v>37</v>
      </c>
      <c r="R300">
        <v>60874</v>
      </c>
      <c r="S300">
        <v>1</v>
      </c>
      <c r="T300" t="s">
        <v>299</v>
      </c>
      <c r="U300" t="s">
        <v>38</v>
      </c>
      <c r="V300">
        <v>0.98764198091776501</v>
      </c>
      <c r="W300">
        <v>196.194839254046</v>
      </c>
      <c r="X300" t="s">
        <v>80</v>
      </c>
      <c r="Y300" t="s">
        <v>154</v>
      </c>
      <c r="Z300">
        <v>1</v>
      </c>
      <c r="AA300">
        <v>201.90186346689501</v>
      </c>
      <c r="AB300">
        <v>11005</v>
      </c>
      <c r="AC300" t="s">
        <v>86</v>
      </c>
      <c r="AD300">
        <v>1</v>
      </c>
      <c r="AE300" t="s">
        <v>42</v>
      </c>
      <c r="AF300" t="s">
        <v>410</v>
      </c>
    </row>
    <row r="301" spans="1:32" x14ac:dyDescent="0.2">
      <c r="A301" t="s">
        <v>406</v>
      </c>
      <c r="B301" t="s">
        <v>252</v>
      </c>
      <c r="C301" t="s">
        <v>34</v>
      </c>
      <c r="D301" t="s">
        <v>407</v>
      </c>
      <c r="E301" t="s">
        <v>248</v>
      </c>
      <c r="G301">
        <v>1.0901926974009799</v>
      </c>
      <c r="H301">
        <v>8.0190781832086097E-2</v>
      </c>
      <c r="I301">
        <v>7.3556520808899906E-2</v>
      </c>
      <c r="K301" t="s">
        <v>46</v>
      </c>
      <c r="L301" t="s">
        <v>46</v>
      </c>
      <c r="M301" t="s">
        <v>46</v>
      </c>
      <c r="O301" s="1">
        <v>45149.833761574075</v>
      </c>
      <c r="P301" s="1">
        <v>45149.834004629629</v>
      </c>
      <c r="U301" t="s">
        <v>38</v>
      </c>
      <c r="AC301" t="s">
        <v>86</v>
      </c>
      <c r="AD301">
        <v>1</v>
      </c>
      <c r="AE301" t="s">
        <v>42</v>
      </c>
    </row>
    <row r="302" spans="1:32" x14ac:dyDescent="0.2">
      <c r="A302" t="s">
        <v>411</v>
      </c>
      <c r="B302" t="s">
        <v>252</v>
      </c>
      <c r="C302" t="s">
        <v>34</v>
      </c>
      <c r="D302" t="s">
        <v>412</v>
      </c>
      <c r="E302" t="s">
        <v>248</v>
      </c>
      <c r="F302">
        <v>0.69896678961320902</v>
      </c>
      <c r="J302">
        <v>7979.7596708606698</v>
      </c>
      <c r="O302" s="1">
        <v>45149.834282407406</v>
      </c>
      <c r="P302" s="1">
        <v>45149.83452546296</v>
      </c>
      <c r="Q302" t="s">
        <v>37</v>
      </c>
      <c r="R302">
        <v>60875</v>
      </c>
      <c r="S302">
        <v>1</v>
      </c>
      <c r="T302" t="s">
        <v>299</v>
      </c>
      <c r="U302" t="s">
        <v>38</v>
      </c>
      <c r="V302">
        <v>0.50290135396518398</v>
      </c>
      <c r="W302">
        <v>196.194839254046</v>
      </c>
      <c r="X302" t="s">
        <v>39</v>
      </c>
      <c r="Y302" t="s">
        <v>154</v>
      </c>
      <c r="Z302">
        <v>1</v>
      </c>
      <c r="AA302">
        <v>139.30793700065499</v>
      </c>
      <c r="AB302">
        <v>16027</v>
      </c>
      <c r="AC302" t="s">
        <v>86</v>
      </c>
      <c r="AD302">
        <v>1</v>
      </c>
      <c r="AE302" t="s">
        <v>42</v>
      </c>
      <c r="AF302" t="s">
        <v>413</v>
      </c>
    </row>
    <row r="303" spans="1:32" x14ac:dyDescent="0.2">
      <c r="A303" t="s">
        <v>411</v>
      </c>
      <c r="B303" t="s">
        <v>252</v>
      </c>
      <c r="C303" t="s">
        <v>34</v>
      </c>
      <c r="D303" t="s">
        <v>412</v>
      </c>
      <c r="E303" t="s">
        <v>248</v>
      </c>
      <c r="F303">
        <v>0.61906657954518396</v>
      </c>
      <c r="J303">
        <v>6940.2892622049203</v>
      </c>
      <c r="O303" s="1">
        <v>45149.834803240738</v>
      </c>
      <c r="P303" s="1">
        <v>45149.835046296299</v>
      </c>
      <c r="Q303" t="s">
        <v>37</v>
      </c>
      <c r="R303">
        <v>60876</v>
      </c>
      <c r="S303">
        <v>1</v>
      </c>
      <c r="T303" t="s">
        <v>299</v>
      </c>
      <c r="U303" t="s">
        <v>38</v>
      </c>
      <c r="V303">
        <v>0.46155319964235503</v>
      </c>
      <c r="W303">
        <v>196.194839254046</v>
      </c>
      <c r="X303" t="s">
        <v>39</v>
      </c>
      <c r="Y303" t="s">
        <v>154</v>
      </c>
      <c r="Z303">
        <v>1</v>
      </c>
      <c r="AA303">
        <v>142.811687654655</v>
      </c>
      <c r="AB303">
        <v>15658</v>
      </c>
      <c r="AC303" t="s">
        <v>86</v>
      </c>
      <c r="AD303">
        <v>1</v>
      </c>
      <c r="AE303" t="s">
        <v>42</v>
      </c>
      <c r="AF303" t="s">
        <v>414</v>
      </c>
    </row>
    <row r="304" spans="1:32" x14ac:dyDescent="0.2">
      <c r="A304" t="s">
        <v>411</v>
      </c>
      <c r="B304" t="s">
        <v>252</v>
      </c>
      <c r="C304" t="s">
        <v>34</v>
      </c>
      <c r="D304" t="s">
        <v>412</v>
      </c>
      <c r="E304" t="s">
        <v>248</v>
      </c>
      <c r="F304">
        <v>0.57652428708034498</v>
      </c>
      <c r="J304">
        <v>6401.0371819603597</v>
      </c>
      <c r="O304" s="1">
        <v>45149.835324074076</v>
      </c>
      <c r="P304" s="1">
        <v>45149.83556712963</v>
      </c>
      <c r="Q304" t="s">
        <v>37</v>
      </c>
      <c r="R304">
        <v>60877</v>
      </c>
      <c r="S304">
        <v>1</v>
      </c>
      <c r="T304" t="s">
        <v>299</v>
      </c>
      <c r="U304" t="s">
        <v>38</v>
      </c>
      <c r="V304">
        <v>0.43815220157800999</v>
      </c>
      <c r="W304">
        <v>196.194839254046</v>
      </c>
      <c r="X304" t="s">
        <v>39</v>
      </c>
      <c r="Y304" t="s">
        <v>154</v>
      </c>
      <c r="Z304">
        <v>1</v>
      </c>
      <c r="AA304">
        <v>148.294708157766</v>
      </c>
      <c r="AB304">
        <v>15716</v>
      </c>
      <c r="AC304" t="s">
        <v>86</v>
      </c>
      <c r="AD304">
        <v>1</v>
      </c>
      <c r="AE304" t="s">
        <v>42</v>
      </c>
      <c r="AF304" t="s">
        <v>415</v>
      </c>
    </row>
    <row r="305" spans="1:32" x14ac:dyDescent="0.2">
      <c r="A305" t="s">
        <v>411</v>
      </c>
      <c r="B305" t="s">
        <v>252</v>
      </c>
      <c r="C305" t="s">
        <v>34</v>
      </c>
      <c r="D305" t="s">
        <v>412</v>
      </c>
      <c r="E305" t="s">
        <v>248</v>
      </c>
      <c r="G305">
        <v>0.63151921874624595</v>
      </c>
      <c r="H305">
        <v>6.2163838153153898E-2</v>
      </c>
      <c r="I305">
        <v>9.8435386141640505E-2</v>
      </c>
      <c r="K305" t="s">
        <v>46</v>
      </c>
      <c r="L305" t="s">
        <v>46</v>
      </c>
      <c r="M305" t="s">
        <v>46</v>
      </c>
      <c r="O305" s="1">
        <v>45149.835324074076</v>
      </c>
      <c r="P305" s="1">
        <v>45149.83556712963</v>
      </c>
      <c r="U305" t="s">
        <v>38</v>
      </c>
      <c r="AC305" t="s">
        <v>86</v>
      </c>
      <c r="AD305">
        <v>1</v>
      </c>
      <c r="AE305" t="s">
        <v>42</v>
      </c>
    </row>
    <row r="306" spans="1:32" x14ac:dyDescent="0.2">
      <c r="A306" t="s">
        <v>416</v>
      </c>
      <c r="B306" t="s">
        <v>252</v>
      </c>
      <c r="C306" t="s">
        <v>34</v>
      </c>
      <c r="D306" t="s">
        <v>417</v>
      </c>
      <c r="E306" t="s">
        <v>248</v>
      </c>
      <c r="F306">
        <v>0.22210387005611401</v>
      </c>
      <c r="J306">
        <v>2257.1204468221399</v>
      </c>
      <c r="O306" s="1">
        <v>45149.835844907408</v>
      </c>
      <c r="P306" s="1">
        <v>45149.836087962962</v>
      </c>
      <c r="Q306" t="s">
        <v>37</v>
      </c>
      <c r="R306">
        <v>60878</v>
      </c>
      <c r="S306">
        <v>0</v>
      </c>
      <c r="U306" t="s">
        <v>38</v>
      </c>
      <c r="V306">
        <v>0.199167822468793</v>
      </c>
      <c r="W306">
        <v>196.194839254046</v>
      </c>
      <c r="X306" t="s">
        <v>39</v>
      </c>
      <c r="Y306" t="s">
        <v>40</v>
      </c>
      <c r="Z306">
        <v>1</v>
      </c>
      <c r="AA306">
        <v>219.30619450519899</v>
      </c>
      <c r="AB306">
        <v>14420</v>
      </c>
      <c r="AC306" t="s">
        <v>86</v>
      </c>
      <c r="AD306">
        <v>1</v>
      </c>
      <c r="AE306" t="s">
        <v>42</v>
      </c>
      <c r="AF306" t="s">
        <v>418</v>
      </c>
    </row>
    <row r="307" spans="1:32" x14ac:dyDescent="0.2">
      <c r="A307" t="s">
        <v>416</v>
      </c>
      <c r="B307" t="s">
        <v>252</v>
      </c>
      <c r="C307" t="s">
        <v>34</v>
      </c>
      <c r="D307" t="s">
        <v>417</v>
      </c>
      <c r="E307" t="s">
        <v>248</v>
      </c>
      <c r="F307">
        <v>0.198796760123364</v>
      </c>
      <c r="J307">
        <v>2004.6980961746001</v>
      </c>
      <c r="O307" s="1">
        <v>45149.836365740739</v>
      </c>
      <c r="P307" s="1">
        <v>45149.836608796293</v>
      </c>
      <c r="Q307" t="s">
        <v>37</v>
      </c>
      <c r="R307">
        <v>60879</v>
      </c>
      <c r="S307">
        <v>0</v>
      </c>
      <c r="U307" t="s">
        <v>38</v>
      </c>
      <c r="V307">
        <v>0.180283524520363</v>
      </c>
      <c r="W307">
        <v>196.194839254046</v>
      </c>
      <c r="X307" t="s">
        <v>39</v>
      </c>
      <c r="Y307" t="s">
        <v>40</v>
      </c>
      <c r="Z307">
        <v>1</v>
      </c>
      <c r="AA307">
        <v>215.83761479884001</v>
      </c>
      <c r="AB307">
        <v>19963</v>
      </c>
      <c r="AC307" t="s">
        <v>86</v>
      </c>
      <c r="AD307">
        <v>1</v>
      </c>
      <c r="AE307" t="s">
        <v>42</v>
      </c>
      <c r="AF307" t="s">
        <v>419</v>
      </c>
    </row>
    <row r="308" spans="1:32" x14ac:dyDescent="0.2">
      <c r="A308" t="s">
        <v>416</v>
      </c>
      <c r="B308" t="s">
        <v>252</v>
      </c>
      <c r="C308" t="s">
        <v>34</v>
      </c>
      <c r="D308" t="s">
        <v>417</v>
      </c>
      <c r="E308" t="s">
        <v>248</v>
      </c>
      <c r="F308">
        <v>0.20864064427448101</v>
      </c>
      <c r="J308">
        <v>2111.0281059830199</v>
      </c>
      <c r="O308" s="1">
        <v>45149.836886574078</v>
      </c>
      <c r="P308" s="1">
        <v>45149.837129629632</v>
      </c>
      <c r="Q308" t="s">
        <v>37</v>
      </c>
      <c r="R308">
        <v>60880</v>
      </c>
      <c r="S308">
        <v>0</v>
      </c>
      <c r="U308" t="s">
        <v>38</v>
      </c>
      <c r="V308">
        <v>0.18831313243633899</v>
      </c>
      <c r="W308">
        <v>196.194839254046</v>
      </c>
      <c r="X308" t="s">
        <v>39</v>
      </c>
      <c r="Y308" t="s">
        <v>40</v>
      </c>
      <c r="Z308">
        <v>1</v>
      </c>
      <c r="AA308">
        <v>200.69842281039999</v>
      </c>
      <c r="AB308">
        <v>17986</v>
      </c>
      <c r="AC308" t="s">
        <v>86</v>
      </c>
      <c r="AD308">
        <v>1</v>
      </c>
      <c r="AE308" t="s">
        <v>42</v>
      </c>
      <c r="AF308" t="s">
        <v>420</v>
      </c>
    </row>
    <row r="309" spans="1:32" x14ac:dyDescent="0.2">
      <c r="A309" t="s">
        <v>416</v>
      </c>
      <c r="B309" t="s">
        <v>252</v>
      </c>
      <c r="C309" t="s">
        <v>34</v>
      </c>
      <c r="D309" t="s">
        <v>417</v>
      </c>
      <c r="E309" t="s">
        <v>248</v>
      </c>
      <c r="G309">
        <v>0.209847091484653</v>
      </c>
      <c r="H309">
        <v>1.17002982657504E-2</v>
      </c>
      <c r="I309">
        <v>5.5756304187833297E-2</v>
      </c>
      <c r="K309">
        <v>2124.2822163265901</v>
      </c>
      <c r="L309">
        <v>126.732057338926</v>
      </c>
      <c r="M309">
        <v>5.9658766789507697E-2</v>
      </c>
      <c r="O309" s="1">
        <v>45149.836886574078</v>
      </c>
      <c r="P309" s="1">
        <v>45149.837129629632</v>
      </c>
      <c r="U309" t="s">
        <v>38</v>
      </c>
      <c r="AC309" t="s">
        <v>86</v>
      </c>
      <c r="AD309">
        <v>1</v>
      </c>
      <c r="AE309" t="s">
        <v>42</v>
      </c>
    </row>
    <row r="310" spans="1:32" x14ac:dyDescent="0.2">
      <c r="A310" t="s">
        <v>421</v>
      </c>
      <c r="B310" t="s">
        <v>252</v>
      </c>
      <c r="C310" t="s">
        <v>34</v>
      </c>
      <c r="D310" t="s">
        <v>422</v>
      </c>
      <c r="E310" t="s">
        <v>248</v>
      </c>
      <c r="F310">
        <v>0.21496297161511599</v>
      </c>
      <c r="J310">
        <v>2179.5367168886301</v>
      </c>
      <c r="O310" s="1">
        <v>45149.837407407409</v>
      </c>
      <c r="P310" s="1">
        <v>45149.837650462963</v>
      </c>
      <c r="Q310" t="s">
        <v>37</v>
      </c>
      <c r="R310">
        <v>60881</v>
      </c>
      <c r="S310">
        <v>0</v>
      </c>
      <c r="U310" t="s">
        <v>38</v>
      </c>
      <c r="V310">
        <v>0.193428694342869</v>
      </c>
      <c r="W310">
        <v>196.194839254046</v>
      </c>
      <c r="X310" t="s">
        <v>39</v>
      </c>
      <c r="Y310" t="s">
        <v>40</v>
      </c>
      <c r="Z310">
        <v>1</v>
      </c>
      <c r="AA310">
        <v>212.900292479803</v>
      </c>
      <c r="AB310">
        <v>18596</v>
      </c>
      <c r="AC310" t="s">
        <v>86</v>
      </c>
      <c r="AD310">
        <v>1</v>
      </c>
      <c r="AE310" t="s">
        <v>42</v>
      </c>
      <c r="AF310" t="s">
        <v>423</v>
      </c>
    </row>
    <row r="311" spans="1:32" x14ac:dyDescent="0.2">
      <c r="A311" t="s">
        <v>421</v>
      </c>
      <c r="B311" t="s">
        <v>252</v>
      </c>
      <c r="C311" t="s">
        <v>34</v>
      </c>
      <c r="D311" t="s">
        <v>422</v>
      </c>
      <c r="E311" t="s">
        <v>248</v>
      </c>
      <c r="F311">
        <v>0.225909486003709</v>
      </c>
      <c r="J311">
        <v>2298.5564702527299</v>
      </c>
      <c r="O311" s="1">
        <v>45149.83792824074</v>
      </c>
      <c r="P311" s="1">
        <v>45149.838171296295</v>
      </c>
      <c r="Q311" t="s">
        <v>37</v>
      </c>
      <c r="R311">
        <v>60882</v>
      </c>
      <c r="S311">
        <v>0</v>
      </c>
      <c r="U311" t="s">
        <v>38</v>
      </c>
      <c r="V311">
        <v>0.202209690413166</v>
      </c>
      <c r="W311">
        <v>196.194839254046</v>
      </c>
      <c r="X311" t="s">
        <v>39</v>
      </c>
      <c r="Y311" t="s">
        <v>40</v>
      </c>
      <c r="Z311">
        <v>1</v>
      </c>
      <c r="AA311">
        <v>212.650121954979</v>
      </c>
      <c r="AB311">
        <v>17378</v>
      </c>
      <c r="AC311" t="s">
        <v>86</v>
      </c>
      <c r="AD311">
        <v>1</v>
      </c>
      <c r="AE311" t="s">
        <v>42</v>
      </c>
      <c r="AF311" t="s">
        <v>424</v>
      </c>
    </row>
    <row r="312" spans="1:32" x14ac:dyDescent="0.2">
      <c r="A312" t="s">
        <v>421</v>
      </c>
      <c r="B312" t="s">
        <v>252</v>
      </c>
      <c r="C312" t="s">
        <v>34</v>
      </c>
      <c r="D312" t="s">
        <v>422</v>
      </c>
      <c r="E312" t="s">
        <v>248</v>
      </c>
      <c r="F312">
        <v>0.217222103441534</v>
      </c>
      <c r="J312">
        <v>2204.0579465858</v>
      </c>
      <c r="O312" s="1">
        <v>45149.838449074072</v>
      </c>
      <c r="P312" s="1">
        <v>45149.838692129626</v>
      </c>
      <c r="Q312" t="s">
        <v>37</v>
      </c>
      <c r="R312">
        <v>60883</v>
      </c>
      <c r="S312">
        <v>0</v>
      </c>
      <c r="U312" t="s">
        <v>38</v>
      </c>
      <c r="V312">
        <v>0.195248788559272</v>
      </c>
      <c r="W312">
        <v>196.194839254046</v>
      </c>
      <c r="X312" t="s">
        <v>39</v>
      </c>
      <c r="Y312" t="s">
        <v>40</v>
      </c>
      <c r="Z312">
        <v>1</v>
      </c>
      <c r="AA312">
        <v>206.397092319384</v>
      </c>
      <c r="AB312">
        <v>16922</v>
      </c>
      <c r="AC312" t="s">
        <v>86</v>
      </c>
      <c r="AD312">
        <v>1</v>
      </c>
      <c r="AE312" t="s">
        <v>42</v>
      </c>
      <c r="AF312" t="s">
        <v>425</v>
      </c>
    </row>
    <row r="313" spans="1:32" x14ac:dyDescent="0.2">
      <c r="A313" t="s">
        <v>421</v>
      </c>
      <c r="B313" t="s">
        <v>252</v>
      </c>
      <c r="C313" t="s">
        <v>34</v>
      </c>
      <c r="D313" t="s">
        <v>422</v>
      </c>
      <c r="E313" t="s">
        <v>248</v>
      </c>
      <c r="G313">
        <v>0.21936485368678599</v>
      </c>
      <c r="H313">
        <v>5.7792800827669404E-3</v>
      </c>
      <c r="I313">
        <v>2.6345515180014701E-2</v>
      </c>
      <c r="K313">
        <v>2227.3837112423798</v>
      </c>
      <c r="L313">
        <v>62.844998968283598</v>
      </c>
      <c r="M313">
        <v>2.8214716059511001E-2</v>
      </c>
      <c r="O313" s="1">
        <v>45149.838449074072</v>
      </c>
      <c r="P313" s="1">
        <v>45149.838692129626</v>
      </c>
      <c r="U313" t="s">
        <v>38</v>
      </c>
      <c r="AC313" t="s">
        <v>86</v>
      </c>
      <c r="AD313">
        <v>1</v>
      </c>
      <c r="AE313" t="s">
        <v>42</v>
      </c>
    </row>
    <row r="314" spans="1:32" x14ac:dyDescent="0.2">
      <c r="A314" t="s">
        <v>426</v>
      </c>
      <c r="B314" t="s">
        <v>252</v>
      </c>
      <c r="C314" t="s">
        <v>34</v>
      </c>
      <c r="D314" t="s">
        <v>427</v>
      </c>
      <c r="E314" t="s">
        <v>248</v>
      </c>
      <c r="F314">
        <v>0.92620274842583405</v>
      </c>
      <c r="J314">
        <v>11141.2472093626</v>
      </c>
      <c r="O314" s="1">
        <v>45149.838969907411</v>
      </c>
      <c r="P314" s="1">
        <v>45149.839212962965</v>
      </c>
      <c r="Q314" t="s">
        <v>37</v>
      </c>
      <c r="R314">
        <v>60884</v>
      </c>
      <c r="S314">
        <v>1</v>
      </c>
      <c r="T314" t="s">
        <v>299</v>
      </c>
      <c r="U314" t="s">
        <v>38</v>
      </c>
      <c r="V314">
        <v>0.97904344651332598</v>
      </c>
      <c r="W314">
        <v>196.194839254046</v>
      </c>
      <c r="X314" t="s">
        <v>80</v>
      </c>
      <c r="Y314" t="s">
        <v>154</v>
      </c>
      <c r="Z314">
        <v>1</v>
      </c>
      <c r="AA314">
        <v>185.60585844398301</v>
      </c>
      <c r="AB314">
        <v>13695</v>
      </c>
      <c r="AC314" t="s">
        <v>86</v>
      </c>
      <c r="AD314">
        <v>1</v>
      </c>
      <c r="AE314" t="s">
        <v>42</v>
      </c>
      <c r="AF314" t="s">
        <v>428</v>
      </c>
    </row>
    <row r="315" spans="1:32" x14ac:dyDescent="0.2">
      <c r="A315" t="s">
        <v>426</v>
      </c>
      <c r="B315" t="s">
        <v>252</v>
      </c>
      <c r="C315" t="s">
        <v>34</v>
      </c>
      <c r="D315" t="s">
        <v>427</v>
      </c>
      <c r="E315" t="s">
        <v>248</v>
      </c>
      <c r="F315" t="s">
        <v>46</v>
      </c>
      <c r="J315" t="s">
        <v>46</v>
      </c>
      <c r="O315" s="1">
        <v>45149.839490740742</v>
      </c>
      <c r="P315" s="1">
        <v>45149.839733796296</v>
      </c>
      <c r="Q315" t="s">
        <v>37</v>
      </c>
      <c r="R315">
        <v>60885</v>
      </c>
      <c r="S315">
        <v>4</v>
      </c>
      <c r="T315" t="s">
        <v>305</v>
      </c>
      <c r="U315" t="s">
        <v>38</v>
      </c>
      <c r="V315" t="s">
        <v>46</v>
      </c>
      <c r="W315">
        <v>196.194839254046</v>
      </c>
      <c r="X315" t="s">
        <v>80</v>
      </c>
      <c r="Y315" t="s">
        <v>55</v>
      </c>
      <c r="Z315" t="s">
        <v>46</v>
      </c>
      <c r="AA315" t="s">
        <v>46</v>
      </c>
      <c r="AB315" t="s">
        <v>46</v>
      </c>
      <c r="AC315" t="s">
        <v>86</v>
      </c>
      <c r="AD315">
        <v>1</v>
      </c>
      <c r="AE315" t="s">
        <v>42</v>
      </c>
    </row>
    <row r="316" spans="1:32" x14ac:dyDescent="0.2">
      <c r="A316" t="s">
        <v>426</v>
      </c>
      <c r="B316" t="s">
        <v>252</v>
      </c>
      <c r="C316" t="s">
        <v>34</v>
      </c>
      <c r="D316" t="s">
        <v>427</v>
      </c>
      <c r="E316" t="s">
        <v>248</v>
      </c>
      <c r="F316">
        <v>0.79497966101443196</v>
      </c>
      <c r="J316">
        <v>9277.0988710771599</v>
      </c>
      <c r="O316" s="1">
        <v>45149.840011574073</v>
      </c>
      <c r="P316" s="1">
        <v>45149.840254629627</v>
      </c>
      <c r="Q316" t="s">
        <v>37</v>
      </c>
      <c r="R316">
        <v>60886</v>
      </c>
      <c r="S316">
        <v>1</v>
      </c>
      <c r="T316" t="s">
        <v>299</v>
      </c>
      <c r="U316" t="s">
        <v>38</v>
      </c>
      <c r="V316">
        <v>0.95611833599513296</v>
      </c>
      <c r="W316">
        <v>196.194839254046</v>
      </c>
      <c r="X316" t="s">
        <v>80</v>
      </c>
      <c r="Y316" t="s">
        <v>154</v>
      </c>
      <c r="Z316">
        <v>1</v>
      </c>
      <c r="AA316">
        <v>163.129291564759</v>
      </c>
      <c r="AB316">
        <v>13149</v>
      </c>
      <c r="AC316" t="s">
        <v>86</v>
      </c>
      <c r="AD316">
        <v>1</v>
      </c>
      <c r="AE316" t="s">
        <v>42</v>
      </c>
      <c r="AF316" t="s">
        <v>429</v>
      </c>
    </row>
    <row r="317" spans="1:32" x14ac:dyDescent="0.2">
      <c r="A317" t="s">
        <v>426</v>
      </c>
      <c r="B317" t="s">
        <v>252</v>
      </c>
      <c r="C317" t="s">
        <v>34</v>
      </c>
      <c r="D317" t="s">
        <v>427</v>
      </c>
      <c r="E317" t="s">
        <v>248</v>
      </c>
      <c r="G317">
        <v>0.86059120472013295</v>
      </c>
      <c r="H317">
        <v>9.2788734956837302E-2</v>
      </c>
      <c r="I317">
        <v>0.107819757450359</v>
      </c>
      <c r="K317" t="s">
        <v>46</v>
      </c>
      <c r="L317" t="s">
        <v>46</v>
      </c>
      <c r="M317" t="s">
        <v>46</v>
      </c>
      <c r="O317" s="1">
        <v>45149.840011574073</v>
      </c>
      <c r="P317" s="1">
        <v>45149.840254629627</v>
      </c>
      <c r="U317" t="s">
        <v>38</v>
      </c>
      <c r="AC317" t="s">
        <v>86</v>
      </c>
      <c r="AD317">
        <v>1</v>
      </c>
      <c r="AE317" t="s">
        <v>42</v>
      </c>
    </row>
    <row r="318" spans="1:32" x14ac:dyDescent="0.2">
      <c r="A318" t="s">
        <v>430</v>
      </c>
      <c r="B318" t="s">
        <v>252</v>
      </c>
      <c r="C318" t="s">
        <v>34</v>
      </c>
      <c r="D318" t="s">
        <v>431</v>
      </c>
      <c r="E318" t="s">
        <v>248</v>
      </c>
      <c r="F318">
        <v>0.25059049674434802</v>
      </c>
      <c r="J318">
        <v>2568.8004777576598</v>
      </c>
      <c r="O318" s="1">
        <v>45149.840532407405</v>
      </c>
      <c r="P318" s="1">
        <v>45149.840775462966</v>
      </c>
      <c r="Q318" t="s">
        <v>37</v>
      </c>
      <c r="R318">
        <v>60887</v>
      </c>
      <c r="S318">
        <v>0</v>
      </c>
      <c r="U318" t="s">
        <v>38</v>
      </c>
      <c r="V318">
        <v>0.22165896050359299</v>
      </c>
      <c r="W318">
        <v>196.194839254046</v>
      </c>
      <c r="X318" t="s">
        <v>39</v>
      </c>
      <c r="Y318" t="s">
        <v>40</v>
      </c>
      <c r="Z318">
        <v>1</v>
      </c>
      <c r="AA318">
        <v>204.99326350492399</v>
      </c>
      <c r="AB318">
        <v>17951</v>
      </c>
      <c r="AC318" t="s">
        <v>86</v>
      </c>
      <c r="AD318">
        <v>1</v>
      </c>
      <c r="AE318" t="s">
        <v>42</v>
      </c>
      <c r="AF318" t="s">
        <v>432</v>
      </c>
    </row>
    <row r="319" spans="1:32" x14ac:dyDescent="0.2">
      <c r="A319" t="s">
        <v>430</v>
      </c>
      <c r="B319" t="s">
        <v>252</v>
      </c>
      <c r="C319" t="s">
        <v>34</v>
      </c>
      <c r="D319" t="s">
        <v>431</v>
      </c>
      <c r="E319" t="s">
        <v>248</v>
      </c>
      <c r="F319">
        <v>0.25023233118525601</v>
      </c>
      <c r="J319">
        <v>2564.8598989976899</v>
      </c>
      <c r="O319" s="1">
        <v>45149.841053240743</v>
      </c>
      <c r="P319" s="1">
        <v>45149.841296296298</v>
      </c>
      <c r="Q319" t="s">
        <v>37</v>
      </c>
      <c r="R319">
        <v>60888</v>
      </c>
      <c r="S319">
        <v>0</v>
      </c>
      <c r="U319" t="s">
        <v>38</v>
      </c>
      <c r="V319">
        <v>0.22138013562026301</v>
      </c>
      <c r="W319">
        <v>196.194839254046</v>
      </c>
      <c r="X319" t="s">
        <v>39</v>
      </c>
      <c r="Y319" t="s">
        <v>40</v>
      </c>
      <c r="Z319">
        <v>1</v>
      </c>
      <c r="AA319">
        <v>204.00296214988799</v>
      </c>
      <c r="AB319">
        <v>15042</v>
      </c>
      <c r="AC319" t="s">
        <v>86</v>
      </c>
      <c r="AD319">
        <v>1</v>
      </c>
      <c r="AE319" t="s">
        <v>42</v>
      </c>
      <c r="AF319" t="s">
        <v>433</v>
      </c>
    </row>
    <row r="320" spans="1:32" x14ac:dyDescent="0.2">
      <c r="A320" t="s">
        <v>430</v>
      </c>
      <c r="B320" t="s">
        <v>252</v>
      </c>
      <c r="C320" t="s">
        <v>34</v>
      </c>
      <c r="D320" t="s">
        <v>431</v>
      </c>
      <c r="E320" t="s">
        <v>248</v>
      </c>
      <c r="F320">
        <v>0.232776006157321</v>
      </c>
      <c r="J320">
        <v>2373.47730728651</v>
      </c>
      <c r="O320" s="1">
        <v>45149.841574074075</v>
      </c>
      <c r="P320" s="1">
        <v>45149.841828703706</v>
      </c>
      <c r="Q320" t="s">
        <v>37</v>
      </c>
      <c r="R320">
        <v>60889</v>
      </c>
      <c r="S320">
        <v>0</v>
      </c>
      <c r="U320" t="s">
        <v>38</v>
      </c>
      <c r="V320">
        <v>0.20766896907881999</v>
      </c>
      <c r="W320">
        <v>196.194839254046</v>
      </c>
      <c r="X320" t="s">
        <v>39</v>
      </c>
      <c r="Y320" t="s">
        <v>40</v>
      </c>
      <c r="Z320">
        <v>1</v>
      </c>
      <c r="AA320">
        <v>211.28261963801501</v>
      </c>
      <c r="AB320">
        <v>15491</v>
      </c>
      <c r="AC320" t="s">
        <v>86</v>
      </c>
      <c r="AD320">
        <v>1</v>
      </c>
      <c r="AE320" t="s">
        <v>42</v>
      </c>
      <c r="AF320" t="s">
        <v>434</v>
      </c>
    </row>
    <row r="321" spans="1:32" x14ac:dyDescent="0.2">
      <c r="A321" t="s">
        <v>430</v>
      </c>
      <c r="B321" t="s">
        <v>252</v>
      </c>
      <c r="C321" t="s">
        <v>34</v>
      </c>
      <c r="D321" t="s">
        <v>431</v>
      </c>
      <c r="E321" t="s">
        <v>248</v>
      </c>
      <c r="G321">
        <v>0.24453294469564099</v>
      </c>
      <c r="H321">
        <v>1.01833822223914E-2</v>
      </c>
      <c r="I321">
        <v>4.1644213768685302E-2</v>
      </c>
      <c r="K321">
        <v>2502.3792280139501</v>
      </c>
      <c r="L321">
        <v>111.649724207717</v>
      </c>
      <c r="M321">
        <v>4.4617427669557903E-2</v>
      </c>
      <c r="O321" s="1">
        <v>45149.841574074075</v>
      </c>
      <c r="P321" s="1">
        <v>45149.841828703706</v>
      </c>
      <c r="U321" t="s">
        <v>38</v>
      </c>
      <c r="AC321" t="s">
        <v>86</v>
      </c>
      <c r="AD321">
        <v>1</v>
      </c>
      <c r="AE321" t="s">
        <v>42</v>
      </c>
    </row>
    <row r="322" spans="1:32" x14ac:dyDescent="0.2">
      <c r="A322" t="s">
        <v>435</v>
      </c>
      <c r="B322" t="s">
        <v>252</v>
      </c>
      <c r="C322" t="s">
        <v>34</v>
      </c>
      <c r="D322" t="s">
        <v>436</v>
      </c>
      <c r="E322" t="s">
        <v>248</v>
      </c>
      <c r="F322">
        <v>0.22125683799951101</v>
      </c>
      <c r="J322">
        <v>2247.90629801249</v>
      </c>
      <c r="O322" s="1">
        <v>45149.844699074078</v>
      </c>
      <c r="P322" s="1">
        <v>45149.844942129632</v>
      </c>
      <c r="Q322" t="s">
        <v>37</v>
      </c>
      <c r="R322">
        <v>60890</v>
      </c>
      <c r="S322">
        <v>0</v>
      </c>
      <c r="U322" t="s">
        <v>38</v>
      </c>
      <c r="V322">
        <v>0.19848920457748501</v>
      </c>
      <c r="W322">
        <v>196.194839254046</v>
      </c>
      <c r="X322" t="s">
        <v>39</v>
      </c>
      <c r="Y322" t="s">
        <v>40</v>
      </c>
      <c r="Z322">
        <v>1</v>
      </c>
      <c r="AA322">
        <v>209.68123778571999</v>
      </c>
      <c r="AB322">
        <v>17739</v>
      </c>
      <c r="AC322" t="s">
        <v>86</v>
      </c>
      <c r="AD322">
        <v>1</v>
      </c>
      <c r="AE322" t="s">
        <v>42</v>
      </c>
      <c r="AF322" t="s">
        <v>437</v>
      </c>
    </row>
    <row r="323" spans="1:32" x14ac:dyDescent="0.2">
      <c r="A323" t="s">
        <v>435</v>
      </c>
      <c r="B323" t="s">
        <v>252</v>
      </c>
      <c r="C323" t="s">
        <v>34</v>
      </c>
      <c r="D323" t="s">
        <v>436</v>
      </c>
      <c r="E323" t="s">
        <v>248</v>
      </c>
      <c r="F323">
        <v>0.225911992868816</v>
      </c>
      <c r="J323">
        <v>2298.5837857817601</v>
      </c>
      <c r="O323" s="1">
        <v>45149.845219907409</v>
      </c>
      <c r="P323" s="1">
        <v>45149.845462962963</v>
      </c>
      <c r="Q323" t="s">
        <v>37</v>
      </c>
      <c r="R323">
        <v>60891</v>
      </c>
      <c r="S323">
        <v>0</v>
      </c>
      <c r="U323" t="s">
        <v>38</v>
      </c>
      <c r="V323">
        <v>0.20221169036334899</v>
      </c>
      <c r="W323">
        <v>196.194839254046</v>
      </c>
      <c r="X323" t="s">
        <v>39</v>
      </c>
      <c r="Y323" t="s">
        <v>40</v>
      </c>
      <c r="Z323">
        <v>1</v>
      </c>
      <c r="AA323">
        <v>223.05525802213401</v>
      </c>
      <c r="AB323">
        <v>18990</v>
      </c>
      <c r="AC323" t="s">
        <v>86</v>
      </c>
      <c r="AD323">
        <v>1</v>
      </c>
      <c r="AE323" t="s">
        <v>42</v>
      </c>
      <c r="AF323" t="s">
        <v>438</v>
      </c>
    </row>
    <row r="324" spans="1:32" x14ac:dyDescent="0.2">
      <c r="A324" t="s">
        <v>435</v>
      </c>
      <c r="B324" t="s">
        <v>252</v>
      </c>
      <c r="C324" t="s">
        <v>34</v>
      </c>
      <c r="D324" t="s">
        <v>436</v>
      </c>
      <c r="E324" t="s">
        <v>248</v>
      </c>
      <c r="F324">
        <v>0.215392058237315</v>
      </c>
      <c r="J324">
        <v>2184.1924637356401</v>
      </c>
      <c r="O324" s="1">
        <v>45149.84574074074</v>
      </c>
      <c r="P324" s="1">
        <v>45149.845983796295</v>
      </c>
      <c r="Q324" t="s">
        <v>37</v>
      </c>
      <c r="R324">
        <v>60892</v>
      </c>
      <c r="S324">
        <v>0</v>
      </c>
      <c r="U324" t="s">
        <v>38</v>
      </c>
      <c r="V324">
        <v>0.19377470905952399</v>
      </c>
      <c r="W324">
        <v>196.194839254046</v>
      </c>
      <c r="X324" t="s">
        <v>39</v>
      </c>
      <c r="Y324" t="s">
        <v>40</v>
      </c>
      <c r="Z324">
        <v>1</v>
      </c>
      <c r="AA324">
        <v>225.523283354895</v>
      </c>
      <c r="AB324">
        <v>17959</v>
      </c>
      <c r="AC324" t="s">
        <v>86</v>
      </c>
      <c r="AD324">
        <v>1</v>
      </c>
      <c r="AE324" t="s">
        <v>42</v>
      </c>
      <c r="AF324" t="s">
        <v>439</v>
      </c>
    </row>
    <row r="325" spans="1:32" x14ac:dyDescent="0.2">
      <c r="A325" t="s">
        <v>435</v>
      </c>
      <c r="B325" t="s">
        <v>252</v>
      </c>
      <c r="C325" t="s">
        <v>34</v>
      </c>
      <c r="D325" t="s">
        <v>436</v>
      </c>
      <c r="E325" t="s">
        <v>248</v>
      </c>
      <c r="G325">
        <v>0.22085362970188099</v>
      </c>
      <c r="H325">
        <v>5.2715452062203098E-3</v>
      </c>
      <c r="I325">
        <v>2.3868954353777699E-2</v>
      </c>
      <c r="K325">
        <v>2243.5608491766302</v>
      </c>
      <c r="L325">
        <v>57.3193321145148</v>
      </c>
      <c r="M325">
        <v>2.55483741996793E-2</v>
      </c>
      <c r="O325" s="1">
        <v>45149.84574074074</v>
      </c>
      <c r="P325" s="1">
        <v>45149.845983796295</v>
      </c>
      <c r="U325" t="s">
        <v>38</v>
      </c>
      <c r="AC325" t="s">
        <v>86</v>
      </c>
      <c r="AD325">
        <v>1</v>
      </c>
      <c r="AE325" t="s">
        <v>42</v>
      </c>
    </row>
    <row r="326" spans="1:32" x14ac:dyDescent="0.2">
      <c r="A326" t="s">
        <v>440</v>
      </c>
      <c r="B326" t="s">
        <v>252</v>
      </c>
      <c r="C326" t="s">
        <v>34</v>
      </c>
      <c r="D326" t="s">
        <v>441</v>
      </c>
      <c r="E326" t="s">
        <v>248</v>
      </c>
      <c r="F326">
        <v>0.30548131909517301</v>
      </c>
      <c r="J326">
        <v>3179.3759673762002</v>
      </c>
      <c r="O326" s="1">
        <v>45149.846261574072</v>
      </c>
      <c r="P326" s="1">
        <v>45149.846504629626</v>
      </c>
      <c r="Q326" t="s">
        <v>37</v>
      </c>
      <c r="R326">
        <v>60893</v>
      </c>
      <c r="S326">
        <v>0</v>
      </c>
      <c r="U326" t="s">
        <v>38</v>
      </c>
      <c r="V326">
        <v>0.26323133179368702</v>
      </c>
      <c r="W326">
        <v>196.194839254046</v>
      </c>
      <c r="X326" t="s">
        <v>39</v>
      </c>
      <c r="Y326" t="s">
        <v>40</v>
      </c>
      <c r="Z326">
        <v>1</v>
      </c>
      <c r="AA326">
        <v>182.34213192482201</v>
      </c>
      <c r="AB326">
        <v>20784</v>
      </c>
      <c r="AC326" t="s">
        <v>86</v>
      </c>
      <c r="AD326">
        <v>1</v>
      </c>
      <c r="AE326" t="s">
        <v>42</v>
      </c>
      <c r="AF326" t="s">
        <v>442</v>
      </c>
    </row>
    <row r="327" spans="1:32" x14ac:dyDescent="0.2">
      <c r="A327" t="s">
        <v>440</v>
      </c>
      <c r="B327" t="s">
        <v>252</v>
      </c>
      <c r="C327" t="s">
        <v>34</v>
      </c>
      <c r="D327" t="s">
        <v>441</v>
      </c>
      <c r="E327" t="s">
        <v>248</v>
      </c>
      <c r="F327" t="s">
        <v>46</v>
      </c>
      <c r="J327" t="s">
        <v>46</v>
      </c>
      <c r="O327" s="1">
        <v>45149.846782407411</v>
      </c>
      <c r="P327" s="1">
        <v>45149.847025462965</v>
      </c>
      <c r="Q327" t="s">
        <v>37</v>
      </c>
      <c r="R327">
        <v>60894</v>
      </c>
      <c r="S327">
        <v>4</v>
      </c>
      <c r="T327" t="s">
        <v>305</v>
      </c>
      <c r="U327" t="s">
        <v>38</v>
      </c>
      <c r="V327" t="s">
        <v>46</v>
      </c>
      <c r="W327">
        <v>196.194839254046</v>
      </c>
      <c r="X327" t="s">
        <v>39</v>
      </c>
      <c r="Y327" t="s">
        <v>55</v>
      </c>
      <c r="Z327" t="s">
        <v>46</v>
      </c>
      <c r="AA327" t="s">
        <v>46</v>
      </c>
      <c r="AB327" t="s">
        <v>46</v>
      </c>
      <c r="AC327" t="s">
        <v>86</v>
      </c>
      <c r="AD327">
        <v>1</v>
      </c>
      <c r="AE327" t="s">
        <v>42</v>
      </c>
    </row>
    <row r="328" spans="1:32" x14ac:dyDescent="0.2">
      <c r="A328" t="s">
        <v>440</v>
      </c>
      <c r="B328" t="s">
        <v>252</v>
      </c>
      <c r="C328" t="s">
        <v>34</v>
      </c>
      <c r="D328" t="s">
        <v>441</v>
      </c>
      <c r="E328" t="s">
        <v>248</v>
      </c>
      <c r="F328">
        <v>0.288513327694991</v>
      </c>
      <c r="J328">
        <v>2989.2100658947602</v>
      </c>
      <c r="O328" s="1">
        <v>45149.847303240742</v>
      </c>
      <c r="P328" s="1">
        <v>45149.847546296296</v>
      </c>
      <c r="Q328" t="s">
        <v>37</v>
      </c>
      <c r="R328">
        <v>60895</v>
      </c>
      <c r="S328">
        <v>0</v>
      </c>
      <c r="U328" t="s">
        <v>38</v>
      </c>
      <c r="V328">
        <v>0.25062318238471099</v>
      </c>
      <c r="W328">
        <v>196.194839254046</v>
      </c>
      <c r="X328" t="s">
        <v>39</v>
      </c>
      <c r="Y328" t="s">
        <v>40</v>
      </c>
      <c r="Z328">
        <v>1</v>
      </c>
      <c r="AA328">
        <v>182.326976541535</v>
      </c>
      <c r="AB328">
        <v>19256</v>
      </c>
      <c r="AC328" t="s">
        <v>86</v>
      </c>
      <c r="AD328">
        <v>1</v>
      </c>
      <c r="AE328" t="s">
        <v>42</v>
      </c>
      <c r="AF328" t="s">
        <v>443</v>
      </c>
    </row>
    <row r="329" spans="1:32" x14ac:dyDescent="0.2">
      <c r="A329" t="s">
        <v>440</v>
      </c>
      <c r="B329" t="s">
        <v>252</v>
      </c>
      <c r="C329" t="s">
        <v>34</v>
      </c>
      <c r="D329" t="s">
        <v>441</v>
      </c>
      <c r="E329" t="s">
        <v>248</v>
      </c>
      <c r="G329">
        <v>0.296997323395082</v>
      </c>
      <c r="H329">
        <v>1.19981817821835E-2</v>
      </c>
      <c r="I329">
        <v>4.0398282533418102E-2</v>
      </c>
      <c r="K329">
        <v>3084.2930166354799</v>
      </c>
      <c r="L329">
        <v>134.46759848798101</v>
      </c>
      <c r="M329">
        <v>4.3597543347118801E-2</v>
      </c>
      <c r="O329" s="1">
        <v>45149.847303240742</v>
      </c>
      <c r="P329" s="1">
        <v>45149.847546296296</v>
      </c>
      <c r="U329" t="s">
        <v>38</v>
      </c>
      <c r="AC329" t="s">
        <v>86</v>
      </c>
      <c r="AD329">
        <v>1</v>
      </c>
      <c r="AE32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1BAD-3380-48D7-89EC-3E105A3CC771}">
  <dimension ref="A1:AJ57"/>
  <sheetViews>
    <sheetView tabSelected="1" topLeftCell="J1" workbookViewId="0">
      <selection activeCell="AF7" sqref="AF7"/>
    </sheetView>
  </sheetViews>
  <sheetFormatPr baseColWidth="10" defaultColWidth="8.83203125" defaultRowHeight="15" x14ac:dyDescent="0.2"/>
  <cols>
    <col min="1" max="1" width="15.83203125" customWidth="1"/>
    <col min="5" max="5" width="14.33203125" customWidth="1"/>
    <col min="9" max="9" width="14.6640625" customWidth="1"/>
    <col min="27" max="27" width="15.6640625" customWidth="1"/>
    <col min="28" max="28" width="10.5" bestFit="1" customWidth="1"/>
  </cols>
  <sheetData>
    <row r="1" spans="1:36" x14ac:dyDescent="0.2">
      <c r="A1" s="10">
        <v>45146</v>
      </c>
      <c r="G1" s="7" t="s">
        <v>444</v>
      </c>
      <c r="K1" t="s">
        <v>546</v>
      </c>
      <c r="AA1" s="10">
        <v>45177</v>
      </c>
    </row>
    <row r="2" spans="1:36" x14ac:dyDescent="0.2">
      <c r="A2" t="s">
        <v>445</v>
      </c>
      <c r="G2" s="8" t="s">
        <v>446</v>
      </c>
      <c r="H2" t="s">
        <v>447</v>
      </c>
      <c r="AA2" t="s">
        <v>445</v>
      </c>
    </row>
    <row r="3" spans="1:36" x14ac:dyDescent="0.2">
      <c r="A3">
        <v>0</v>
      </c>
      <c r="B3">
        <v>2.84400922059047E-2</v>
      </c>
      <c r="C3">
        <v>2.93164717597626E-2</v>
      </c>
      <c r="D3">
        <v>2.9898861099554499E-2</v>
      </c>
      <c r="F3">
        <f>AVERAGE(B3:D3)+1.645*STDEV(B3:D3)+1.645*STDEV(B4:D4)</f>
        <v>3.3757897450425962E-2</v>
      </c>
      <c r="G3" s="9">
        <v>10.4006405603403</v>
      </c>
      <c r="H3">
        <f>G3*17300/1000</f>
        <v>179.93108169388719</v>
      </c>
      <c r="I3" t="s">
        <v>448</v>
      </c>
      <c r="AA3">
        <v>0</v>
      </c>
      <c r="AB3">
        <v>2.0304940994028499E-2</v>
      </c>
      <c r="AC3">
        <v>2.0318744156061799E-2</v>
      </c>
      <c r="AD3">
        <v>1.80746204040051E-2</v>
      </c>
      <c r="AG3" s="8" t="s">
        <v>446</v>
      </c>
      <c r="AH3" t="s">
        <v>447</v>
      </c>
    </row>
    <row r="4" spans="1:36" x14ac:dyDescent="0.2">
      <c r="A4">
        <v>0.32</v>
      </c>
      <c r="B4">
        <v>2.63891308284303E-2</v>
      </c>
      <c r="C4">
        <v>3.02571312683915E-2</v>
      </c>
      <c r="D4">
        <v>2.7282216680436101E-2</v>
      </c>
      <c r="F4" s="4" t="s">
        <v>449</v>
      </c>
      <c r="AA4">
        <v>0.32</v>
      </c>
      <c r="AB4">
        <v>2.0331596050569601E-2</v>
      </c>
      <c r="AC4">
        <v>1.9221156579264299E-2</v>
      </c>
      <c r="AD4">
        <v>2.0973548812534E-2</v>
      </c>
      <c r="AF4">
        <f>AVERAGE(AB3:AD3)+1.645*STDEV(AB3:AD3)+STDEV(AB4:AD4)</f>
        <v>2.2577486069902609E-2</v>
      </c>
      <c r="AG4" s="9"/>
      <c r="AH4">
        <f>AG4*17300/1000</f>
        <v>0</v>
      </c>
      <c r="AI4" t="s">
        <v>448</v>
      </c>
    </row>
    <row r="5" spans="1:36" x14ac:dyDescent="0.2">
      <c r="A5">
        <v>1.6</v>
      </c>
      <c r="B5" t="s">
        <v>46</v>
      </c>
      <c r="C5">
        <v>2.75298923924777E-2</v>
      </c>
      <c r="D5" t="s">
        <v>46</v>
      </c>
      <c r="AA5">
        <v>1.6</v>
      </c>
      <c r="AB5">
        <v>2.0237432826377699E-2</v>
      </c>
      <c r="AC5">
        <v>1.9319803110241601E-2</v>
      </c>
      <c r="AD5">
        <v>1.9319800000000002E-2</v>
      </c>
    </row>
    <row r="6" spans="1:36" x14ac:dyDescent="0.2">
      <c r="A6">
        <v>8</v>
      </c>
      <c r="B6">
        <v>2.9996982021368399E-2</v>
      </c>
      <c r="C6">
        <v>3.1430451576378998E-2</v>
      </c>
      <c r="D6">
        <v>2.9935003403563198E-2</v>
      </c>
      <c r="AA6">
        <v>8</v>
      </c>
      <c r="AB6">
        <v>2.0897328278776502E-2</v>
      </c>
      <c r="AC6">
        <v>2.0348109446190799E-2</v>
      </c>
      <c r="AD6">
        <v>2.09422919134244E-2</v>
      </c>
    </row>
    <row r="7" spans="1:36" x14ac:dyDescent="0.2">
      <c r="A7">
        <v>40</v>
      </c>
      <c r="B7">
        <v>4.2368982473321298E-2</v>
      </c>
      <c r="C7">
        <v>4.2814288209916999E-2</v>
      </c>
      <c r="D7">
        <v>3.9824441192145697E-2</v>
      </c>
      <c r="AA7">
        <v>40</v>
      </c>
      <c r="AB7">
        <v>3.3506496348057399E-2</v>
      </c>
      <c r="AC7">
        <v>3.1793974992822598E-2</v>
      </c>
      <c r="AD7">
        <v>3.0452511984784401E-2</v>
      </c>
    </row>
    <row r="8" spans="1:36" x14ac:dyDescent="0.2">
      <c r="A8">
        <v>200</v>
      </c>
      <c r="B8">
        <v>9.5910899668035204E-2</v>
      </c>
      <c r="C8">
        <v>9.7093769567740504E-2</v>
      </c>
      <c r="D8">
        <v>8.8752436613521404E-2</v>
      </c>
      <c r="AA8">
        <v>200</v>
      </c>
      <c r="AB8">
        <v>7.5240580400838503E-2</v>
      </c>
      <c r="AC8">
        <v>7.8754706265642502E-2</v>
      </c>
      <c r="AD8">
        <v>8.2451080473122607E-2</v>
      </c>
    </row>
    <row r="9" spans="1:36" x14ac:dyDescent="0.2">
      <c r="A9">
        <v>1000</v>
      </c>
      <c r="B9">
        <v>0.35482845155384901</v>
      </c>
      <c r="C9">
        <v>0.34693607877446397</v>
      </c>
      <c r="D9">
        <v>0.37372838566733102</v>
      </c>
      <c r="AA9">
        <v>1000</v>
      </c>
      <c r="AB9">
        <v>0.296442020943951</v>
      </c>
      <c r="AC9">
        <v>0.31007734346029803</v>
      </c>
      <c r="AD9">
        <v>0.30971933261986301</v>
      </c>
    </row>
    <row r="10" spans="1:36" x14ac:dyDescent="0.2">
      <c r="A10">
        <v>5000</v>
      </c>
      <c r="B10">
        <v>1.8284944855266201</v>
      </c>
      <c r="C10">
        <v>2.0840157185227501</v>
      </c>
      <c r="D10">
        <v>1.9830204830039699</v>
      </c>
      <c r="AA10">
        <v>5000</v>
      </c>
      <c r="AB10">
        <v>1.74917882599647</v>
      </c>
      <c r="AC10">
        <v>1.7836495223912701</v>
      </c>
      <c r="AD10">
        <v>1.7933012550293399</v>
      </c>
    </row>
    <row r="13" spans="1:36" x14ac:dyDescent="0.2">
      <c r="AA13" s="6" t="s">
        <v>450</v>
      </c>
      <c r="AB13">
        <v>1.9396912508106601E-2</v>
      </c>
      <c r="AC13">
        <v>2.0365148032359399E-2</v>
      </c>
      <c r="AD13">
        <v>2.21310678565152E-2</v>
      </c>
    </row>
    <row r="14" spans="1:36" x14ac:dyDescent="0.2">
      <c r="T14">
        <f>80*5000/480</f>
        <v>833.33333333333337</v>
      </c>
      <c r="U14" t="s">
        <v>446</v>
      </c>
      <c r="AA14" s="6" t="s">
        <v>451</v>
      </c>
      <c r="AB14">
        <v>0.246917615146932</v>
      </c>
      <c r="AC14">
        <v>0.247274724563561</v>
      </c>
      <c r="AD14">
        <v>0.25631750181662499</v>
      </c>
    </row>
    <row r="15" spans="1:36" ht="16" x14ac:dyDescent="0.2">
      <c r="A15" t="s">
        <v>452</v>
      </c>
      <c r="E15" s="2" t="s">
        <v>453</v>
      </c>
      <c r="I15" s="4" t="s">
        <v>454</v>
      </c>
      <c r="J15" t="s">
        <v>452</v>
      </c>
      <c r="N15" s="5" t="s">
        <v>455</v>
      </c>
      <c r="S15" s="5" t="s">
        <v>455</v>
      </c>
      <c r="T15" s="6" t="s">
        <v>456</v>
      </c>
    </row>
    <row r="16" spans="1:36" x14ac:dyDescent="0.2">
      <c r="A16" t="s">
        <v>457</v>
      </c>
      <c r="B16">
        <v>6.1777044943449301E-2</v>
      </c>
      <c r="C16">
        <v>6.2153123245822298E-2</v>
      </c>
      <c r="D16">
        <v>6.4265921342412102E-2</v>
      </c>
      <c r="E16" t="s">
        <v>458</v>
      </c>
      <c r="F16">
        <v>0.16213713060951701</v>
      </c>
      <c r="G16">
        <v>0.161448198245639</v>
      </c>
      <c r="H16">
        <v>0.16376512766345799</v>
      </c>
      <c r="J16" t="s">
        <v>457</v>
      </c>
      <c r="K16" s="3">
        <v>107.05337242280299</v>
      </c>
      <c r="L16" s="3">
        <v>108.20595715717</v>
      </c>
      <c r="M16" s="3">
        <v>114.671699624355</v>
      </c>
      <c r="N16">
        <f>AVERAGE(K16:M16)</f>
        <v>109.97700973477599</v>
      </c>
      <c r="O16" t="s">
        <v>458</v>
      </c>
      <c r="P16" s="3">
        <v>402.38641881779802</v>
      </c>
      <c r="Q16" s="3">
        <v>400.41125793295402</v>
      </c>
      <c r="R16" s="3">
        <v>407.05146158308497</v>
      </c>
      <c r="S16">
        <f>AVERAGE(P16:R16)</f>
        <v>403.28304611127902</v>
      </c>
      <c r="T16" s="6">
        <f>(S16-N16)/(80*5000/480)*100</f>
        <v>35.196724365180359</v>
      </c>
      <c r="V16" t="s">
        <v>457</v>
      </c>
      <c r="W16" s="3">
        <f>K16*2</f>
        <v>214.10674484560599</v>
      </c>
      <c r="X16" s="3">
        <f t="shared" ref="X16:Y21" si="0">L16*2</f>
        <v>216.41191431434001</v>
      </c>
      <c r="Y16" s="3">
        <f t="shared" si="0"/>
        <v>229.34339924871</v>
      </c>
      <c r="AE16" s="5" t="s">
        <v>455</v>
      </c>
      <c r="AI16" s="5" t="s">
        <v>455</v>
      </c>
      <c r="AJ16" s="6" t="s">
        <v>456</v>
      </c>
    </row>
    <row r="17" spans="1:36" x14ac:dyDescent="0.2">
      <c r="A17" t="s">
        <v>459</v>
      </c>
      <c r="B17">
        <v>7.9032149919264605E-2</v>
      </c>
      <c r="C17">
        <v>9.0993275260631001E-2</v>
      </c>
      <c r="D17">
        <v>7.9131846071204298E-2</v>
      </c>
      <c r="E17" t="s">
        <v>460</v>
      </c>
      <c r="F17">
        <v>0.17838665634925699</v>
      </c>
      <c r="G17">
        <v>0.17708137013039801</v>
      </c>
      <c r="H17">
        <v>0.17170594355577501</v>
      </c>
      <c r="J17" t="s">
        <v>459</v>
      </c>
      <c r="K17" s="3">
        <v>159.39170468296001</v>
      </c>
      <c r="L17" s="3">
        <v>195.14009261743399</v>
      </c>
      <c r="M17" s="3">
        <v>159.69216173921399</v>
      </c>
      <c r="N17">
        <f t="shared" ref="N17:N20" si="1">AVERAGE(K17:M17)</f>
        <v>171.40798634653598</v>
      </c>
      <c r="O17" t="s">
        <v>460</v>
      </c>
      <c r="P17" s="3">
        <v>448.83282845176399</v>
      </c>
      <c r="Q17" s="3">
        <v>445.109349700351</v>
      </c>
      <c r="R17" s="3">
        <v>429.76806244743699</v>
      </c>
      <c r="S17">
        <f t="shared" ref="S17:S21" si="2">AVERAGE(P17:R17)</f>
        <v>441.23674686651731</v>
      </c>
      <c r="T17" s="6">
        <f t="shared" ref="T17:T20" si="3">(S17-N17)/(80*5000/480)*100</f>
        <v>32.379451262397758</v>
      </c>
      <c r="V17" t="s">
        <v>459</v>
      </c>
      <c r="W17" s="3">
        <f t="shared" ref="W17:W21" si="4">K17*2</f>
        <v>318.78340936592002</v>
      </c>
      <c r="X17" s="3">
        <f t="shared" si="0"/>
        <v>390.28018523486799</v>
      </c>
      <c r="Y17" s="3">
        <f t="shared" si="0"/>
        <v>319.38432347842797</v>
      </c>
      <c r="AB17" s="3">
        <v>10.4006405603403</v>
      </c>
      <c r="AC17" s="3">
        <v>10.4006405603403</v>
      </c>
      <c r="AD17" s="3">
        <v>10.4006405603403</v>
      </c>
      <c r="AE17">
        <f>AVERAGE(AB17:AD17)</f>
        <v>10.4006405603403</v>
      </c>
      <c r="AF17" s="3">
        <v>642.29418320083198</v>
      </c>
      <c r="AG17" s="3">
        <v>643.29447626317904</v>
      </c>
      <c r="AH17" s="3">
        <v>668.57808580183598</v>
      </c>
      <c r="AI17">
        <f>AVERAGE(AF17:AH17)</f>
        <v>651.3889150886157</v>
      </c>
      <c r="AJ17" s="6">
        <f>(AI17-AD17)/(80*5000/480)*100</f>
        <v>76.918592943393037</v>
      </c>
    </row>
    <row r="18" spans="1:36" x14ac:dyDescent="0.2">
      <c r="A18" t="s">
        <v>461</v>
      </c>
      <c r="B18">
        <v>4.5336825674195898E-2</v>
      </c>
      <c r="C18">
        <v>4.9578770427673002E-2</v>
      </c>
      <c r="D18">
        <v>5.2926104049553203E-2</v>
      </c>
      <c r="E18" t="s">
        <v>462</v>
      </c>
      <c r="F18">
        <v>0.17903076358984599</v>
      </c>
      <c r="G18">
        <v>0.180342845171273</v>
      </c>
      <c r="H18">
        <v>0.19018106724136999</v>
      </c>
      <c r="J18" t="s">
        <v>461</v>
      </c>
      <c r="K18" s="3">
        <v>55.897324825068601</v>
      </c>
      <c r="L18" s="3">
        <v>69.265863401820496</v>
      </c>
      <c r="M18" s="3">
        <v>79.720139586128397</v>
      </c>
      <c r="N18">
        <f t="shared" si="1"/>
        <v>68.294442604339167</v>
      </c>
      <c r="O18" t="s">
        <v>462</v>
      </c>
      <c r="P18" s="3">
        <v>450.66832876811202</v>
      </c>
      <c r="Q18" s="3">
        <v>454.40655774986101</v>
      </c>
      <c r="R18" s="3">
        <v>482.38866060340303</v>
      </c>
      <c r="S18">
        <f t="shared" si="2"/>
        <v>462.48784904045868</v>
      </c>
      <c r="T18" s="6">
        <f t="shared" si="3"/>
        <v>47.303208772334337</v>
      </c>
      <c r="V18" t="s">
        <v>461</v>
      </c>
      <c r="W18" s="3">
        <f t="shared" si="4"/>
        <v>111.7946496501372</v>
      </c>
      <c r="X18" s="3">
        <f t="shared" si="0"/>
        <v>138.53172680364099</v>
      </c>
      <c r="Y18" s="3">
        <f t="shared" si="0"/>
        <v>159.44027917225679</v>
      </c>
    </row>
    <row r="19" spans="1:36" x14ac:dyDescent="0.2">
      <c r="A19" t="s">
        <v>463</v>
      </c>
      <c r="B19">
        <v>0.50875462734869004</v>
      </c>
      <c r="C19">
        <v>0.497560948573883</v>
      </c>
      <c r="D19">
        <v>0.53353707430064901</v>
      </c>
      <c r="E19" t="s">
        <v>464</v>
      </c>
      <c r="F19">
        <v>0.53098316027072201</v>
      </c>
      <c r="G19">
        <v>0.56070750240521405</v>
      </c>
      <c r="H19">
        <v>0.54430509518690795</v>
      </c>
      <c r="J19" t="s">
        <v>463</v>
      </c>
      <c r="K19" s="3">
        <v>1359.5600445269699</v>
      </c>
      <c r="L19" s="3">
        <v>1329.38529754811</v>
      </c>
      <c r="M19" s="3">
        <v>1426.2428551191001</v>
      </c>
      <c r="N19">
        <f t="shared" si="1"/>
        <v>1371.7293990647267</v>
      </c>
      <c r="O19" t="s">
        <v>464</v>
      </c>
      <c r="P19" s="3">
        <v>1419.37807304077</v>
      </c>
      <c r="Q19" s="3">
        <v>1499.17218590371</v>
      </c>
      <c r="R19" s="3">
        <v>1455.1672924076099</v>
      </c>
      <c r="S19">
        <f t="shared" si="2"/>
        <v>1457.9058504506966</v>
      </c>
      <c r="T19" s="6">
        <f t="shared" si="3"/>
        <v>10.341174166316378</v>
      </c>
      <c r="V19" t="s">
        <v>463</v>
      </c>
      <c r="W19" s="3">
        <f t="shared" si="4"/>
        <v>2719.1200890539399</v>
      </c>
      <c r="X19" s="3">
        <f t="shared" si="0"/>
        <v>2658.7705950962199</v>
      </c>
      <c r="Y19" s="3">
        <f t="shared" si="0"/>
        <v>2852.4857102382002</v>
      </c>
    </row>
    <row r="20" spans="1:36" x14ac:dyDescent="0.2">
      <c r="A20" t="s">
        <v>465</v>
      </c>
      <c r="B20">
        <v>1.1224536377536201</v>
      </c>
      <c r="C20">
        <v>1.18375163689818</v>
      </c>
      <c r="D20">
        <v>1.07767838482418</v>
      </c>
      <c r="E20" t="s">
        <v>466</v>
      </c>
      <c r="F20" t="s">
        <v>46</v>
      </c>
      <c r="G20">
        <v>1.27978663116678</v>
      </c>
      <c r="H20">
        <v>1.27211601197325</v>
      </c>
      <c r="J20" t="s">
        <v>465</v>
      </c>
      <c r="K20" s="3">
        <v>2975.9994414397602</v>
      </c>
      <c r="L20" s="3">
        <v>3134.4738640597302</v>
      </c>
      <c r="M20" s="3">
        <v>2859.9686296423301</v>
      </c>
      <c r="N20">
        <f t="shared" si="1"/>
        <v>2990.1473117139399</v>
      </c>
      <c r="O20" t="s">
        <v>466</v>
      </c>
      <c r="P20" s="3"/>
      <c r="Q20" s="3">
        <v>3381.9442139887701</v>
      </c>
      <c r="R20" s="3">
        <v>3362.2117556315102</v>
      </c>
      <c r="S20">
        <f t="shared" si="2"/>
        <v>3372.0779848101402</v>
      </c>
      <c r="T20" s="6">
        <f t="shared" si="3"/>
        <v>45.831680771544029</v>
      </c>
      <c r="V20" t="s">
        <v>465</v>
      </c>
      <c r="W20" s="3">
        <f t="shared" si="4"/>
        <v>5951.9988828795204</v>
      </c>
      <c r="X20" s="3">
        <f t="shared" si="0"/>
        <v>6268.9477281194604</v>
      </c>
      <c r="Y20" s="3">
        <f t="shared" si="0"/>
        <v>5719.9372592846603</v>
      </c>
    </row>
    <row r="21" spans="1:36" x14ac:dyDescent="0.2">
      <c r="A21" t="s">
        <v>467</v>
      </c>
      <c r="B21">
        <v>0.57332601566262897</v>
      </c>
      <c r="C21">
        <v>0.57114327685608501</v>
      </c>
      <c r="D21">
        <v>0.56941832922569802</v>
      </c>
      <c r="E21" t="s">
        <v>468</v>
      </c>
      <c r="F21">
        <v>0.63292052662639597</v>
      </c>
      <c r="G21" t="s">
        <v>46</v>
      </c>
      <c r="H21">
        <v>0.57192818812857704</v>
      </c>
      <c r="J21" t="s">
        <v>467</v>
      </c>
      <c r="K21" s="3">
        <v>1532.9781340448501</v>
      </c>
      <c r="L21" s="3">
        <v>1527.1322125286299</v>
      </c>
      <c r="M21" s="3">
        <v>1522.5119773363899</v>
      </c>
      <c r="N21">
        <f>AVERAGE(K21:M21)</f>
        <v>1527.5407746366234</v>
      </c>
      <c r="O21" t="s">
        <v>468</v>
      </c>
      <c r="P21" s="3">
        <v>1692.1463831779499</v>
      </c>
      <c r="Q21" s="3"/>
      <c r="R21" s="3">
        <v>1529.23451864309</v>
      </c>
      <c r="S21">
        <f t="shared" si="2"/>
        <v>1610.69045091052</v>
      </c>
      <c r="T21" s="6">
        <f>(S21-N21)/(80*5000/480)*100</f>
        <v>9.9779611528675911</v>
      </c>
      <c r="V21" t="s">
        <v>467</v>
      </c>
      <c r="W21" s="3">
        <f t="shared" si="4"/>
        <v>3065.9562680897002</v>
      </c>
      <c r="X21" s="3">
        <f t="shared" si="0"/>
        <v>3054.2644250572598</v>
      </c>
      <c r="Y21" s="3">
        <f t="shared" si="0"/>
        <v>3045.0239546727798</v>
      </c>
    </row>
    <row r="22" spans="1:36" x14ac:dyDescent="0.2">
      <c r="A22" t="s">
        <v>469</v>
      </c>
      <c r="J22" t="s">
        <v>469</v>
      </c>
      <c r="N22" s="5" t="s">
        <v>455</v>
      </c>
      <c r="S22" s="5" t="s">
        <v>455</v>
      </c>
      <c r="T22" t="s">
        <v>456</v>
      </c>
      <c r="Y22" s="3"/>
    </row>
    <row r="23" spans="1:36" x14ac:dyDescent="0.2">
      <c r="A23" t="s">
        <v>470</v>
      </c>
      <c r="B23">
        <v>4.0832512477037002E-2</v>
      </c>
      <c r="C23">
        <v>4.3920503021099698E-2</v>
      </c>
      <c r="D23">
        <v>4.6890660561300597E-2</v>
      </c>
      <c r="E23" t="s">
        <v>471</v>
      </c>
      <c r="F23">
        <v>0.20108734171101</v>
      </c>
      <c r="G23">
        <v>0.20736786278879399</v>
      </c>
      <c r="H23">
        <v>0.19948029493179301</v>
      </c>
      <c r="J23" t="s">
        <v>470</v>
      </c>
      <c r="K23" s="3">
        <v>41.519627604331902</v>
      </c>
      <c r="L23" s="3">
        <v>51.400066717346903</v>
      </c>
      <c r="M23" s="3">
        <v>60.811794468773599</v>
      </c>
      <c r="N23">
        <f>AVERAGE(K23:M23)</f>
        <v>51.24382959681747</v>
      </c>
      <c r="O23" t="s">
        <v>471</v>
      </c>
      <c r="P23" s="3">
        <v>513.31232901323995</v>
      </c>
      <c r="Q23" s="3">
        <v>531.07860508183103</v>
      </c>
      <c r="R23" s="3">
        <v>508.76181871926701</v>
      </c>
      <c r="S23">
        <f>AVERAGE(P23:R23)</f>
        <v>517.71758427144596</v>
      </c>
      <c r="T23" s="6">
        <f>(S23-N23)/(80*5000/480)*100</f>
        <v>55.976850560955413</v>
      </c>
      <c r="V23" t="s">
        <v>470</v>
      </c>
      <c r="W23" s="3">
        <f>K23*4</f>
        <v>166.07851041732761</v>
      </c>
      <c r="X23" s="3">
        <f t="shared" ref="X23:Y28" si="5">L23*4</f>
        <v>205.60026686938761</v>
      </c>
      <c r="Y23" s="3">
        <f t="shared" si="5"/>
        <v>243.24717787509439</v>
      </c>
    </row>
    <row r="24" spans="1:36" x14ac:dyDescent="0.2">
      <c r="A24" t="s">
        <v>472</v>
      </c>
      <c r="B24">
        <v>4.9868519927281703E-2</v>
      </c>
      <c r="C24">
        <v>5.28568635519856E-2</v>
      </c>
      <c r="D24">
        <v>4.9253684389455099E-2</v>
      </c>
      <c r="E24" t="s">
        <v>473</v>
      </c>
      <c r="F24">
        <v>0.22138524965068601</v>
      </c>
      <c r="G24">
        <v>0.230839649134746</v>
      </c>
      <c r="H24">
        <v>0.22211819333503499</v>
      </c>
      <c r="J24" t="s">
        <v>472</v>
      </c>
      <c r="K24" s="3">
        <v>70.174694367632199</v>
      </c>
      <c r="L24" s="3">
        <v>79.505356285417193</v>
      </c>
      <c r="M24" s="3">
        <v>68.246623615669606</v>
      </c>
      <c r="N24">
        <f t="shared" ref="N24:N28" si="6">AVERAGE(K24:M24)</f>
        <v>72.642224756239671</v>
      </c>
      <c r="O24" t="s">
        <v>473</v>
      </c>
      <c r="P24" s="3">
        <v>570.61937652868301</v>
      </c>
      <c r="Q24" s="3">
        <v>597.21192963011504</v>
      </c>
      <c r="R24" s="3">
        <v>572.68318786177701</v>
      </c>
      <c r="S24">
        <f t="shared" ref="S24:S28" si="7">AVERAGE(P24:R24)</f>
        <v>580.17149800685831</v>
      </c>
      <c r="T24" s="6">
        <f t="shared" ref="T24:T28" si="8">(S24-N24)/(80*5000/480)*100</f>
        <v>60.903512790074231</v>
      </c>
      <c r="V24" t="s">
        <v>472</v>
      </c>
      <c r="W24" s="3">
        <f t="shared" ref="W24:W28" si="9">K24*4</f>
        <v>280.6987774705288</v>
      </c>
      <c r="X24" s="3">
        <f t="shared" si="5"/>
        <v>318.02142514166877</v>
      </c>
      <c r="Y24" s="3">
        <f t="shared" si="5"/>
        <v>272.98649446267842</v>
      </c>
    </row>
    <row r="25" spans="1:36" x14ac:dyDescent="0.2">
      <c r="A25" t="s">
        <v>474</v>
      </c>
      <c r="B25">
        <v>3.9002961284915802E-2</v>
      </c>
      <c r="C25">
        <v>4.3867948322657002E-2</v>
      </c>
      <c r="D25">
        <v>4.2145879779574999E-2</v>
      </c>
      <c r="E25" t="s">
        <v>475</v>
      </c>
      <c r="F25">
        <v>0.21169231418743301</v>
      </c>
      <c r="G25">
        <v>0.213922699369087</v>
      </c>
      <c r="H25">
        <v>0.22319447948004301</v>
      </c>
      <c r="J25" t="s">
        <v>474</v>
      </c>
      <c r="K25" s="3">
        <v>35.608788343421701</v>
      </c>
      <c r="L25" s="3">
        <v>51.231358092870103</v>
      </c>
      <c r="M25" s="3">
        <v>45.733906246839702</v>
      </c>
      <c r="N25">
        <f t="shared" si="6"/>
        <v>44.191350894377166</v>
      </c>
      <c r="O25" t="s">
        <v>475</v>
      </c>
      <c r="P25" s="3">
        <v>543.29173647480195</v>
      </c>
      <c r="Q25" s="3">
        <v>549.58771052005602</v>
      </c>
      <c r="R25" s="3">
        <v>575.71205371705605</v>
      </c>
      <c r="S25">
        <f t="shared" si="7"/>
        <v>556.19716690397138</v>
      </c>
      <c r="T25" s="6">
        <f t="shared" si="8"/>
        <v>61.440697921151312</v>
      </c>
      <c r="V25" t="s">
        <v>474</v>
      </c>
      <c r="W25" s="3">
        <f t="shared" si="9"/>
        <v>142.4351533736868</v>
      </c>
      <c r="X25" s="3">
        <f t="shared" si="5"/>
        <v>204.92543237148041</v>
      </c>
      <c r="Y25" s="3">
        <f t="shared" si="5"/>
        <v>182.93562498735881</v>
      </c>
    </row>
    <row r="26" spans="1:36" x14ac:dyDescent="0.2">
      <c r="A26" t="s">
        <v>476</v>
      </c>
      <c r="B26">
        <v>0.26334840844340102</v>
      </c>
      <c r="C26">
        <v>0.53967571015905602</v>
      </c>
      <c r="D26">
        <v>0.24239533264826299</v>
      </c>
      <c r="E26" t="s">
        <v>477</v>
      </c>
      <c r="F26">
        <v>0.58624397226267499</v>
      </c>
      <c r="G26">
        <v>0.62798752385368695</v>
      </c>
      <c r="H26">
        <v>0.60152082355228997</v>
      </c>
      <c r="J26" t="s">
        <v>476</v>
      </c>
      <c r="K26" s="3">
        <v>688.19981031591897</v>
      </c>
      <c r="L26" s="3">
        <v>1442.7367359187299</v>
      </c>
      <c r="M26" s="3">
        <v>629.62940768836302</v>
      </c>
      <c r="N26">
        <f t="shared" si="6"/>
        <v>920.18865130767063</v>
      </c>
      <c r="O26" t="s">
        <v>477</v>
      </c>
      <c r="P26" s="3">
        <v>1567.5485705271799</v>
      </c>
      <c r="Q26" s="3">
        <v>1679.0010902046899</v>
      </c>
      <c r="R26" s="3">
        <v>1608.38206713775</v>
      </c>
      <c r="S26">
        <f t="shared" si="7"/>
        <v>1618.3105759565399</v>
      </c>
      <c r="T26" s="6">
        <f t="shared" si="8"/>
        <v>83.774630957864304</v>
      </c>
      <c r="V26" t="s">
        <v>476</v>
      </c>
      <c r="W26" s="3">
        <f t="shared" si="9"/>
        <v>2752.7992412636759</v>
      </c>
      <c r="X26" s="3">
        <f t="shared" si="5"/>
        <v>5770.9469436749196</v>
      </c>
      <c r="Y26" s="3">
        <f t="shared" si="5"/>
        <v>2518.5176307534521</v>
      </c>
    </row>
    <row r="27" spans="1:36" x14ac:dyDescent="0.2">
      <c r="A27" t="s">
        <v>478</v>
      </c>
      <c r="B27" t="s">
        <v>46</v>
      </c>
      <c r="C27">
        <v>1.0902618824507699</v>
      </c>
      <c r="D27">
        <v>1.06611499003614</v>
      </c>
      <c r="E27" t="s">
        <v>479</v>
      </c>
      <c r="F27">
        <v>1.3460549625339</v>
      </c>
      <c r="G27" t="s">
        <v>46</v>
      </c>
      <c r="H27" t="s">
        <v>46</v>
      </c>
      <c r="J27" t="s">
        <v>478</v>
      </c>
      <c r="K27" s="3"/>
      <c r="L27" s="3">
        <v>2892.6021309355201</v>
      </c>
      <c r="M27" s="3">
        <v>2829.9661254954799</v>
      </c>
      <c r="N27">
        <f t="shared" si="6"/>
        <v>2861.2841282155</v>
      </c>
      <c r="O27" t="s">
        <v>479</v>
      </c>
      <c r="P27" s="3">
        <v>3552.1683350460798</v>
      </c>
      <c r="Q27" s="3"/>
      <c r="R27" s="3"/>
      <c r="S27">
        <f t="shared" si="7"/>
        <v>3552.1683350460798</v>
      </c>
      <c r="T27" s="6">
        <f t="shared" si="8"/>
        <v>82.906104819669579</v>
      </c>
      <c r="V27" t="s">
        <v>478</v>
      </c>
      <c r="W27" s="3">
        <f t="shared" si="9"/>
        <v>0</v>
      </c>
      <c r="X27" s="3">
        <f t="shared" si="5"/>
        <v>11570.40852374208</v>
      </c>
      <c r="Y27" s="3">
        <f t="shared" si="5"/>
        <v>11319.86450198192</v>
      </c>
    </row>
    <row r="28" spans="1:36" x14ac:dyDescent="0.2">
      <c r="A28" t="s">
        <v>480</v>
      </c>
      <c r="B28">
        <v>0.33041253257465902</v>
      </c>
      <c r="C28">
        <v>0.40950608554868201</v>
      </c>
      <c r="D28">
        <v>0.39992411453566501</v>
      </c>
      <c r="E28" t="s">
        <v>481</v>
      </c>
      <c r="F28">
        <v>0.45740665435871902</v>
      </c>
      <c r="G28">
        <v>0.45278828324672599</v>
      </c>
      <c r="H28">
        <v>0.45954076846095598</v>
      </c>
      <c r="J28" t="s">
        <v>480</v>
      </c>
      <c r="K28" s="3">
        <v>874.06959461522194</v>
      </c>
      <c r="L28" s="3">
        <v>1090.7279432581099</v>
      </c>
      <c r="M28" s="3">
        <v>1064.6060245200999</v>
      </c>
      <c r="N28">
        <f t="shared" si="6"/>
        <v>1009.8011874644772</v>
      </c>
      <c r="O28" t="s">
        <v>481</v>
      </c>
      <c r="P28" s="3">
        <v>1220.85175599026</v>
      </c>
      <c r="Q28" s="3">
        <v>1208.3361465401199</v>
      </c>
      <c r="R28" s="3">
        <v>1226.63181793546</v>
      </c>
      <c r="S28">
        <f t="shared" si="7"/>
        <v>1218.6065734886133</v>
      </c>
      <c r="T28" s="6">
        <f t="shared" si="8"/>
        <v>25.056646322896338</v>
      </c>
      <c r="V28" t="s">
        <v>480</v>
      </c>
      <c r="W28" s="3">
        <f t="shared" si="9"/>
        <v>3496.2783784608878</v>
      </c>
      <c r="X28" s="3">
        <f t="shared" si="5"/>
        <v>4362.9117730324397</v>
      </c>
      <c r="Y28" s="3">
        <f t="shared" si="5"/>
        <v>4258.4240980803997</v>
      </c>
    </row>
    <row r="29" spans="1:36" x14ac:dyDescent="0.2">
      <c r="A29" t="s">
        <v>482</v>
      </c>
      <c r="N29" s="5" t="s">
        <v>455</v>
      </c>
      <c r="S29" s="5" t="s">
        <v>455</v>
      </c>
      <c r="T29" t="s">
        <v>456</v>
      </c>
    </row>
    <row r="30" spans="1:36" x14ac:dyDescent="0.2">
      <c r="A30" t="s">
        <v>483</v>
      </c>
      <c r="B30">
        <v>3.5948600340315398E-2</v>
      </c>
      <c r="C30">
        <v>3.8819294803072703E-2</v>
      </c>
      <c r="D30">
        <v>3.5152881078909903E-2</v>
      </c>
      <c r="E30" t="s">
        <v>484</v>
      </c>
      <c r="F30">
        <v>0.21786990653628799</v>
      </c>
      <c r="G30">
        <v>0.21957269313795999</v>
      </c>
      <c r="H30">
        <v>0.198340653004939</v>
      </c>
      <c r="J30" t="s">
        <v>483</v>
      </c>
      <c r="K30" s="3">
        <v>25.6262262584235</v>
      </c>
      <c r="L30" s="3">
        <v>35.011829344673401</v>
      </c>
      <c r="M30" s="3">
        <v>22.994123744699198</v>
      </c>
      <c r="N30">
        <f>AVERAGE(K30:M30)</f>
        <v>27.877393115932033</v>
      </c>
      <c r="O30" t="s">
        <v>484</v>
      </c>
      <c r="P30" s="3">
        <v>560.71734697004399</v>
      </c>
      <c r="Q30" s="3">
        <v>565.51593307554197</v>
      </c>
      <c r="R30" s="3">
        <v>505.535280689091</v>
      </c>
      <c r="S30">
        <f>AVERAGE(P30:R30)</f>
        <v>543.92285357822573</v>
      </c>
      <c r="T30" s="6">
        <f>(S30-N30)/(80*5000/480)*100</f>
        <v>61.925455255475235</v>
      </c>
      <c r="V30" t="s">
        <v>483</v>
      </c>
      <c r="W30" s="3">
        <f>K30*8</f>
        <v>205.009810067388</v>
      </c>
      <c r="X30" s="3">
        <f t="shared" ref="X30:Y35" si="10">L30*8</f>
        <v>280.09463475738721</v>
      </c>
      <c r="Y30" s="3">
        <f t="shared" si="10"/>
        <v>183.95298995759359</v>
      </c>
    </row>
    <row r="31" spans="1:36" x14ac:dyDescent="0.2">
      <c r="A31" t="s">
        <v>485</v>
      </c>
      <c r="B31">
        <v>4.0212545555178197E-2</v>
      </c>
      <c r="C31">
        <v>3.9102119671830603E-2</v>
      </c>
      <c r="D31">
        <v>3.9685560437700801E-2</v>
      </c>
      <c r="E31" t="s">
        <v>486</v>
      </c>
      <c r="F31">
        <v>0.222588612343254</v>
      </c>
      <c r="G31">
        <v>0.220886747144346</v>
      </c>
      <c r="H31">
        <v>0.22159909032393801</v>
      </c>
      <c r="J31" t="s">
        <v>485</v>
      </c>
      <c r="K31" s="3">
        <v>39.52217250588</v>
      </c>
      <c r="L31" s="3">
        <v>35.929767006692302</v>
      </c>
      <c r="M31" s="3">
        <v>37.820294136708398</v>
      </c>
      <c r="N31">
        <f t="shared" ref="N31:N35" si="11">AVERAGE(K31:M31)</f>
        <v>37.757411216426895</v>
      </c>
      <c r="O31" t="s">
        <v>486</v>
      </c>
      <c r="P31" s="3">
        <v>574.00912051230398</v>
      </c>
      <c r="Q31" s="3">
        <v>569.21700693870298</v>
      </c>
      <c r="R31" s="3">
        <v>571.22194729312901</v>
      </c>
      <c r="S31">
        <f t="shared" ref="S31:S35" si="12">AVERAGE(P31:R31)</f>
        <v>571.48269158137862</v>
      </c>
      <c r="T31" s="6">
        <f t="shared" ref="T31:T35" si="13">(S31-N31)/(80*5000/480)*100</f>
        <v>64.047033643794208</v>
      </c>
      <c r="V31" t="s">
        <v>485</v>
      </c>
      <c r="W31" s="3">
        <f t="shared" ref="W31:W35" si="14">K31*8</f>
        <v>316.17738004704</v>
      </c>
      <c r="X31" s="3">
        <f t="shared" si="10"/>
        <v>287.43813605353841</v>
      </c>
      <c r="Y31" s="3">
        <f t="shared" si="10"/>
        <v>302.56235309366718</v>
      </c>
    </row>
    <row r="32" spans="1:36" x14ac:dyDescent="0.2">
      <c r="A32" t="s">
        <v>487</v>
      </c>
      <c r="B32">
        <v>3.4933833688163198E-2</v>
      </c>
      <c r="C32">
        <v>3.2996653685069897E-2</v>
      </c>
      <c r="D32">
        <v>3.68222196272293E-2</v>
      </c>
      <c r="E32" t="s">
        <v>488</v>
      </c>
      <c r="F32">
        <v>0.220889194622132</v>
      </c>
      <c r="G32">
        <v>0.22543687811295801</v>
      </c>
      <c r="H32">
        <v>0.22217036784639899</v>
      </c>
      <c r="J32" t="s">
        <v>487</v>
      </c>
      <c r="K32" s="3">
        <v>22.267336612996001</v>
      </c>
      <c r="L32" s="3">
        <v>15.7805018349347</v>
      </c>
      <c r="M32" s="3">
        <v>28.4972240842927</v>
      </c>
      <c r="N32">
        <f t="shared" si="11"/>
        <v>22.181687510741131</v>
      </c>
      <c r="O32" t="s">
        <v>488</v>
      </c>
      <c r="P32" s="3">
        <v>569.22263929658197</v>
      </c>
      <c r="Q32" s="3">
        <v>582.02334217645603</v>
      </c>
      <c r="R32" s="3">
        <v>572.82958299898598</v>
      </c>
      <c r="S32">
        <f t="shared" si="12"/>
        <v>574.69185482400792</v>
      </c>
      <c r="T32" s="6">
        <f t="shared" si="13"/>
        <v>66.301220077592021</v>
      </c>
      <c r="V32" t="s">
        <v>487</v>
      </c>
      <c r="W32" s="3">
        <f t="shared" si="14"/>
        <v>178.13869290396801</v>
      </c>
      <c r="X32" s="3">
        <f t="shared" si="10"/>
        <v>126.2440146794776</v>
      </c>
      <c r="Y32" s="3">
        <f t="shared" si="10"/>
        <v>227.9777926743416</v>
      </c>
    </row>
    <row r="33" spans="1:25" x14ac:dyDescent="0.2">
      <c r="A33" t="s">
        <v>489</v>
      </c>
      <c r="B33">
        <v>0.22270549917900201</v>
      </c>
      <c r="C33">
        <v>0.26116396424836402</v>
      </c>
      <c r="D33">
        <v>0.27207015043848898</v>
      </c>
      <c r="E33" t="s">
        <v>490</v>
      </c>
      <c r="F33">
        <v>0.33193626942883597</v>
      </c>
      <c r="G33">
        <v>0.37416905210073498</v>
      </c>
      <c r="H33">
        <v>0.34791927482900198</v>
      </c>
      <c r="J33" t="s">
        <v>489</v>
      </c>
      <c r="K33" s="3">
        <v>574.33565323147104</v>
      </c>
      <c r="L33" s="3">
        <v>682.10704493439005</v>
      </c>
      <c r="M33" s="3">
        <v>712.50470820543603</v>
      </c>
      <c r="N33">
        <f t="shared" si="11"/>
        <v>656.31580212376582</v>
      </c>
      <c r="O33" t="s">
        <v>490</v>
      </c>
      <c r="P33" s="3">
        <v>878.26549105473998</v>
      </c>
      <c r="Q33" s="3">
        <v>994.22967629857203</v>
      </c>
      <c r="R33" s="3">
        <v>922.23844986157303</v>
      </c>
      <c r="S33">
        <f t="shared" si="12"/>
        <v>931.57787240496157</v>
      </c>
      <c r="T33" s="6">
        <f t="shared" si="13"/>
        <v>33.031448433743485</v>
      </c>
      <c r="V33" t="s">
        <v>489</v>
      </c>
      <c r="W33" s="3">
        <f t="shared" si="14"/>
        <v>4594.6852258517683</v>
      </c>
      <c r="X33" s="3">
        <f t="shared" si="10"/>
        <v>5456.8563594751204</v>
      </c>
      <c r="Y33" s="3">
        <f t="shared" si="10"/>
        <v>5700.0376656434883</v>
      </c>
    </row>
    <row r="34" spans="1:25" x14ac:dyDescent="0.2">
      <c r="A34" t="s">
        <v>491</v>
      </c>
      <c r="B34">
        <v>0.86299780961829398</v>
      </c>
      <c r="C34">
        <v>0.92716071529283195</v>
      </c>
      <c r="D34">
        <v>0.89799545029971695</v>
      </c>
      <c r="E34" t="s">
        <v>492</v>
      </c>
      <c r="F34">
        <v>0.97640646553823696</v>
      </c>
      <c r="G34" t="s">
        <v>46</v>
      </c>
      <c r="H34">
        <v>0.70773450802750304</v>
      </c>
      <c r="J34" t="s">
        <v>491</v>
      </c>
      <c r="K34" s="3">
        <v>2300.1069769686301</v>
      </c>
      <c r="L34" s="3">
        <v>2468.09677805914</v>
      </c>
      <c r="M34" s="3">
        <v>2391.80978364354</v>
      </c>
      <c r="N34">
        <f t="shared" si="11"/>
        <v>2386.6711795571032</v>
      </c>
      <c r="O34" t="s">
        <v>492</v>
      </c>
      <c r="P34" s="3">
        <v>2596.6327046936299</v>
      </c>
      <c r="Q34" s="3"/>
      <c r="R34" s="3">
        <v>1890.8954308171899</v>
      </c>
      <c r="S34">
        <f t="shared" si="12"/>
        <v>2243.76406775541</v>
      </c>
      <c r="T34" s="6">
        <f t="shared" si="13"/>
        <v>-17.148853416203185</v>
      </c>
      <c r="V34" t="s">
        <v>491</v>
      </c>
      <c r="W34" s="3">
        <f t="shared" si="14"/>
        <v>18400.855815749041</v>
      </c>
      <c r="X34" s="3">
        <f t="shared" si="10"/>
        <v>19744.77422447312</v>
      </c>
      <c r="Y34" s="3">
        <f t="shared" si="10"/>
        <v>19134.47826914832</v>
      </c>
    </row>
    <row r="35" spans="1:25" x14ac:dyDescent="0.2">
      <c r="A35" t="s">
        <v>493</v>
      </c>
      <c r="B35">
        <v>0.34353520446222502</v>
      </c>
      <c r="C35">
        <v>0.32645919292527298</v>
      </c>
      <c r="D35">
        <v>0.349188372032052</v>
      </c>
      <c r="E35" t="s">
        <v>494</v>
      </c>
      <c r="F35" t="s">
        <v>46</v>
      </c>
      <c r="G35">
        <v>0.46963759309019598</v>
      </c>
      <c r="H35">
        <v>0.45518317718068801</v>
      </c>
      <c r="J35" t="s">
        <v>493</v>
      </c>
      <c r="K35" s="3">
        <v>910.18788371741596</v>
      </c>
      <c r="L35" s="3">
        <v>863.17144154228299</v>
      </c>
      <c r="M35" s="3">
        <v>925.72512686108098</v>
      </c>
      <c r="N35">
        <f t="shared" si="11"/>
        <v>899.69481737359331</v>
      </c>
      <c r="O35" t="s">
        <v>494</v>
      </c>
      <c r="P35" s="3"/>
      <c r="Q35" s="3">
        <v>1253.96144829023</v>
      </c>
      <c r="R35" s="3">
        <v>1214.8264409302201</v>
      </c>
      <c r="S35">
        <f t="shared" si="12"/>
        <v>1234.3939446102249</v>
      </c>
      <c r="T35" s="6">
        <f t="shared" si="13"/>
        <v>40.163895268395791</v>
      </c>
      <c r="V35" t="s">
        <v>493</v>
      </c>
      <c r="W35" s="3">
        <f t="shared" si="14"/>
        <v>7281.5030697393277</v>
      </c>
      <c r="X35" s="3">
        <f t="shared" si="10"/>
        <v>6905.3715323382639</v>
      </c>
      <c r="Y35" s="3">
        <f t="shared" si="10"/>
        <v>7405.8010148886478</v>
      </c>
    </row>
    <row r="37" spans="1:25" x14ac:dyDescent="0.2">
      <c r="A37" t="s">
        <v>495</v>
      </c>
      <c r="I37" s="4" t="s">
        <v>454</v>
      </c>
      <c r="N37" s="5" t="s">
        <v>455</v>
      </c>
      <c r="S37" s="5" t="s">
        <v>455</v>
      </c>
      <c r="T37" t="s">
        <v>456</v>
      </c>
    </row>
    <row r="38" spans="1:25" x14ac:dyDescent="0.2">
      <c r="A38" t="s">
        <v>496</v>
      </c>
      <c r="B38">
        <v>3.2223332878458001E-2</v>
      </c>
      <c r="C38">
        <v>3.2732384156700899E-2</v>
      </c>
      <c r="D38">
        <v>3.15286036729963E-2</v>
      </c>
      <c r="E38" t="s">
        <v>497</v>
      </c>
      <c r="F38">
        <v>0.204278475509722</v>
      </c>
      <c r="G38">
        <v>0.209794121268185</v>
      </c>
      <c r="H38">
        <v>0.20612909884694899</v>
      </c>
      <c r="J38" t="s">
        <v>496</v>
      </c>
      <c r="K38" s="3">
        <v>13.152500895720101</v>
      </c>
      <c r="L38" s="3">
        <v>14.883445263447101</v>
      </c>
      <c r="M38" s="3">
        <v>10.773189594803</v>
      </c>
      <c r="N38">
        <f>AVERAGE(K38:M38)</f>
        <v>12.936378584656735</v>
      </c>
      <c r="O38" t="s">
        <v>497</v>
      </c>
      <c r="P38" s="3">
        <v>522.34215527506501</v>
      </c>
      <c r="Q38" s="3">
        <v>537.93257814025901</v>
      </c>
      <c r="R38" s="3">
        <v>527.57642860963904</v>
      </c>
      <c r="S38">
        <f>AVERAGE(P38:R38)</f>
        <v>529.28372067498776</v>
      </c>
      <c r="T38" s="6">
        <f>(S38-N38)/(80*5000/480)*100</f>
        <v>61.961681050839722</v>
      </c>
      <c r="V38" t="s">
        <v>496</v>
      </c>
      <c r="W38" s="3">
        <f>K38*2</f>
        <v>26.305001791440201</v>
      </c>
      <c r="X38" s="3">
        <f t="shared" ref="X38:X43" si="15">L38*2</f>
        <v>29.766890526894201</v>
      </c>
      <c r="Y38" s="3">
        <f t="shared" ref="Y38:Y43" si="16">M38*2</f>
        <v>21.546379189606</v>
      </c>
    </row>
    <row r="39" spans="1:25" x14ac:dyDescent="0.2">
      <c r="A39" t="s">
        <v>498</v>
      </c>
      <c r="B39">
        <v>3.4600086114903797E-2</v>
      </c>
      <c r="C39" t="s">
        <v>46</v>
      </c>
      <c r="D39">
        <v>4.1268275539121102E-2</v>
      </c>
      <c r="E39" t="s">
        <v>499</v>
      </c>
      <c r="F39">
        <v>0.20376931958903999</v>
      </c>
      <c r="G39">
        <v>0.21120544127217999</v>
      </c>
      <c r="H39">
        <v>0.21489499386052999</v>
      </c>
      <c r="J39" t="s">
        <v>498</v>
      </c>
      <c r="K39" s="3">
        <v>21.1565584822498</v>
      </c>
      <c r="L39" s="3"/>
      <c r="M39" s="3">
        <v>42.918138448929398</v>
      </c>
      <c r="N39">
        <f t="shared" ref="N39:N43" si="17">AVERAGE(K39:M39)</f>
        <v>32.037348465589602</v>
      </c>
      <c r="O39" t="s">
        <v>499</v>
      </c>
      <c r="P39" s="3">
        <v>520.902333714321</v>
      </c>
      <c r="Q39" s="3">
        <v>541.91690983667604</v>
      </c>
      <c r="R39" s="3">
        <v>552.32958420775697</v>
      </c>
      <c r="S39">
        <f t="shared" ref="S39:S43" si="18">AVERAGE(P39:R39)</f>
        <v>538.38294258625137</v>
      </c>
      <c r="T39" s="6">
        <f t="shared" ref="T39:T43" si="19">(S39-N39)/(80*5000/480)*100</f>
        <v>60.761471294479406</v>
      </c>
      <c r="V39" t="s">
        <v>498</v>
      </c>
      <c r="W39" s="3">
        <f t="shared" ref="W39:W43" si="20">K39*2</f>
        <v>42.313116964499599</v>
      </c>
      <c r="X39" s="3">
        <f t="shared" si="15"/>
        <v>0</v>
      </c>
      <c r="Y39" s="3">
        <f t="shared" si="16"/>
        <v>85.836276897858795</v>
      </c>
    </row>
    <row r="40" spans="1:25" x14ac:dyDescent="0.2">
      <c r="A40" t="s">
        <v>500</v>
      </c>
      <c r="B40">
        <v>3.1888353366828798E-2</v>
      </c>
      <c r="C40">
        <v>3.4853534997344802E-2</v>
      </c>
      <c r="D40">
        <v>3.2518348785666798E-2</v>
      </c>
      <c r="E40" t="s">
        <v>501</v>
      </c>
      <c r="F40">
        <v>0.19960164637133601</v>
      </c>
      <c r="G40" t="s">
        <v>46</v>
      </c>
      <c r="H40">
        <v>0.237381333976982</v>
      </c>
      <c r="J40" t="s">
        <v>500</v>
      </c>
      <c r="K40" s="3">
        <v>12.006994689524101</v>
      </c>
      <c r="L40" s="3">
        <v>22.001544199318801</v>
      </c>
      <c r="M40" s="3">
        <v>14.1570221975779</v>
      </c>
      <c r="N40">
        <f t="shared" si="17"/>
        <v>16.055187028806934</v>
      </c>
      <c r="O40" t="s">
        <v>501</v>
      </c>
      <c r="P40" s="3">
        <v>509.10735617756001</v>
      </c>
      <c r="Q40" s="3"/>
      <c r="R40" s="3">
        <v>615.57336179767799</v>
      </c>
      <c r="S40">
        <f t="shared" si="18"/>
        <v>562.34035898761897</v>
      </c>
      <c r="T40" s="6">
        <f t="shared" si="19"/>
        <v>65.554220635057447</v>
      </c>
      <c r="V40" t="s">
        <v>500</v>
      </c>
      <c r="W40" s="3">
        <f t="shared" si="20"/>
        <v>24.013989379048201</v>
      </c>
      <c r="X40" s="3">
        <f t="shared" si="15"/>
        <v>44.003088398637601</v>
      </c>
      <c r="Y40" s="3">
        <f t="shared" si="16"/>
        <v>28.314044395155801</v>
      </c>
    </row>
    <row r="41" spans="1:25" x14ac:dyDescent="0.2">
      <c r="A41" t="s">
        <v>502</v>
      </c>
      <c r="B41">
        <v>0.28634120451790701</v>
      </c>
      <c r="C41">
        <v>0.22636698942418601</v>
      </c>
      <c r="D41">
        <v>0.30577752857111301</v>
      </c>
      <c r="E41" t="s">
        <v>503</v>
      </c>
      <c r="F41">
        <v>0.38989453273274199</v>
      </c>
      <c r="G41">
        <v>0.407698957723233</v>
      </c>
      <c r="H41">
        <v>0.42808042863788698</v>
      </c>
      <c r="J41" t="s">
        <v>502</v>
      </c>
      <c r="K41" s="3">
        <v>752.18237366531503</v>
      </c>
      <c r="L41" s="3">
        <v>584.63912566246097</v>
      </c>
      <c r="M41" s="3">
        <v>806.05321173107404</v>
      </c>
      <c r="N41">
        <f t="shared" si="17"/>
        <v>714.29157035295009</v>
      </c>
      <c r="O41" t="s">
        <v>503</v>
      </c>
      <c r="P41" s="3">
        <v>1037.2305091913499</v>
      </c>
      <c r="Q41" s="3">
        <v>1085.8042591476501</v>
      </c>
      <c r="R41" s="3">
        <v>1141.27348590522</v>
      </c>
      <c r="S41">
        <f t="shared" si="18"/>
        <v>1088.1027514147399</v>
      </c>
      <c r="T41" s="6">
        <f t="shared" si="19"/>
        <v>44.857341727414777</v>
      </c>
      <c r="V41" t="s">
        <v>502</v>
      </c>
      <c r="W41" s="3">
        <f t="shared" si="20"/>
        <v>1504.3647473306301</v>
      </c>
      <c r="X41" s="3">
        <f t="shared" si="15"/>
        <v>1169.2782513249219</v>
      </c>
      <c r="Y41" s="3">
        <f t="shared" si="16"/>
        <v>1612.1064234621481</v>
      </c>
    </row>
    <row r="42" spans="1:25" x14ac:dyDescent="0.2">
      <c r="A42" t="s">
        <v>504</v>
      </c>
      <c r="B42" t="s">
        <v>46</v>
      </c>
      <c r="C42" t="s">
        <v>46</v>
      </c>
      <c r="D42" t="s">
        <v>46</v>
      </c>
      <c r="E42" t="s">
        <v>505</v>
      </c>
      <c r="F42">
        <v>1.2697872821276299</v>
      </c>
      <c r="G42">
        <v>1.3291713717570299</v>
      </c>
      <c r="H42" t="s">
        <v>46</v>
      </c>
      <c r="J42" t="s">
        <v>504</v>
      </c>
      <c r="K42" s="3"/>
      <c r="L42" s="3"/>
      <c r="M42" s="3"/>
      <c r="N42" t="e">
        <f t="shared" si="17"/>
        <v>#DIV/0!</v>
      </c>
      <c r="O42" t="s">
        <v>505</v>
      </c>
      <c r="P42" s="3">
        <v>3356.2195989861102</v>
      </c>
      <c r="Q42" s="3">
        <v>3508.8382332460501</v>
      </c>
      <c r="R42" s="3"/>
      <c r="S42">
        <f t="shared" si="18"/>
        <v>3432.5289161160799</v>
      </c>
      <c r="T42" s="6" t="e">
        <f t="shared" si="19"/>
        <v>#DIV/0!</v>
      </c>
      <c r="V42" t="s">
        <v>504</v>
      </c>
      <c r="W42" s="3">
        <f t="shared" si="20"/>
        <v>0</v>
      </c>
      <c r="X42" s="3">
        <f t="shared" si="15"/>
        <v>0</v>
      </c>
      <c r="Y42" s="3">
        <f t="shared" si="16"/>
        <v>0</v>
      </c>
    </row>
    <row r="43" spans="1:25" x14ac:dyDescent="0.2">
      <c r="A43" t="s">
        <v>506</v>
      </c>
      <c r="B43" t="s">
        <v>46</v>
      </c>
      <c r="C43" t="s">
        <v>46</v>
      </c>
      <c r="D43" t="s">
        <v>46</v>
      </c>
      <c r="E43" t="s">
        <v>507</v>
      </c>
      <c r="F43">
        <v>0.57301580696103604</v>
      </c>
      <c r="G43">
        <v>0.55131124878597904</v>
      </c>
      <c r="H43">
        <v>0.53404789878717196</v>
      </c>
      <c r="J43" t="s">
        <v>506</v>
      </c>
      <c r="K43" s="3"/>
      <c r="L43" s="3"/>
      <c r="M43" s="3"/>
      <c r="N43" t="e">
        <f t="shared" si="17"/>
        <v>#DIV/0!</v>
      </c>
      <c r="O43" t="s">
        <v>507</v>
      </c>
      <c r="P43" s="3">
        <v>1532.1480449318301</v>
      </c>
      <c r="Q43" s="3">
        <v>1473.9707013495699</v>
      </c>
      <c r="R43" s="3">
        <v>1427.6161469333199</v>
      </c>
      <c r="S43">
        <f t="shared" si="18"/>
        <v>1477.9116310715733</v>
      </c>
      <c r="T43" s="6" t="e">
        <f t="shared" si="19"/>
        <v>#DIV/0!</v>
      </c>
      <c r="V43" t="s">
        <v>506</v>
      </c>
      <c r="W43" s="3">
        <f t="shared" si="20"/>
        <v>0</v>
      </c>
      <c r="X43" s="3">
        <f t="shared" si="15"/>
        <v>0</v>
      </c>
      <c r="Y43" s="3">
        <f t="shared" si="16"/>
        <v>0</v>
      </c>
    </row>
    <row r="44" spans="1:25" x14ac:dyDescent="0.2">
      <c r="N44" s="5" t="s">
        <v>455</v>
      </c>
      <c r="S44" s="5" t="s">
        <v>455</v>
      </c>
      <c r="T44" t="s">
        <v>456</v>
      </c>
      <c r="Y44" s="3"/>
    </row>
    <row r="45" spans="1:25" x14ac:dyDescent="0.2">
      <c r="A45" t="s">
        <v>508</v>
      </c>
      <c r="B45" t="s">
        <v>46</v>
      </c>
      <c r="C45" t="s">
        <v>46</v>
      </c>
      <c r="D45" t="s">
        <v>46</v>
      </c>
      <c r="E45" t="s">
        <v>509</v>
      </c>
      <c r="F45">
        <v>0.199373290090541</v>
      </c>
      <c r="G45">
        <v>0.20971374110170701</v>
      </c>
      <c r="H45">
        <v>0.21141340158427199</v>
      </c>
      <c r="J45" t="s">
        <v>508</v>
      </c>
      <c r="M45" s="3"/>
      <c r="N45" t="e">
        <f>AVERAGE(K45:M45)</f>
        <v>#DIV/0!</v>
      </c>
      <c r="O45" t="s">
        <v>509</v>
      </c>
      <c r="P45" s="3">
        <v>508.458755540585</v>
      </c>
      <c r="Q45" s="3">
        <v>537.70663207481903</v>
      </c>
      <c r="R45" s="3">
        <v>542.50412648432598</v>
      </c>
      <c r="S45">
        <f>AVERAGE(P45:R45)</f>
        <v>529.55650469991008</v>
      </c>
      <c r="T45" s="6" t="e">
        <f>(S45-N45)/(80*5000/480)*100</f>
        <v>#DIV/0!</v>
      </c>
      <c r="V45" t="s">
        <v>508</v>
      </c>
      <c r="W45" s="3">
        <f>K45*4</f>
        <v>0</v>
      </c>
      <c r="X45" s="3">
        <f t="shared" ref="X45:X50" si="21">L45*4</f>
        <v>0</v>
      </c>
      <c r="Y45" s="3">
        <f t="shared" ref="Y45:Y50" si="22">M45*4</f>
        <v>0</v>
      </c>
    </row>
    <row r="46" spans="1:25" x14ac:dyDescent="0.2">
      <c r="A46" t="s">
        <v>510</v>
      </c>
      <c r="B46">
        <v>3.4847506095443397E-2</v>
      </c>
      <c r="C46">
        <v>3.5526503552710899E-2</v>
      </c>
      <c r="D46" t="s">
        <v>46</v>
      </c>
      <c r="E46" t="s">
        <v>511</v>
      </c>
      <c r="F46">
        <v>0.22064691799869299</v>
      </c>
      <c r="G46">
        <v>0.224984307670862</v>
      </c>
      <c r="H46">
        <v>0.20746628213837701</v>
      </c>
      <c r="J46" t="s">
        <v>510</v>
      </c>
      <c r="K46" s="3">
        <v>21.981603201429099</v>
      </c>
      <c r="L46" s="3">
        <v>24.232625039677298</v>
      </c>
      <c r="N46">
        <f t="shared" ref="N46:N50" si="23">AVERAGE(K46:M46)</f>
        <v>23.107114120553199</v>
      </c>
      <c r="O46" t="s">
        <v>511</v>
      </c>
      <c r="P46" s="3">
        <v>568.54110338622104</v>
      </c>
      <c r="Q46" s="3">
        <v>580.74898585406902</v>
      </c>
      <c r="R46" s="3">
        <v>531.35556311969594</v>
      </c>
      <c r="S46">
        <f t="shared" ref="S46:S50" si="24">AVERAGE(P46:R46)</f>
        <v>560.21521745332859</v>
      </c>
      <c r="T46" s="6">
        <f t="shared" ref="T46:T50" si="25">(S46-N46)/(80*5000/480)*100</f>
        <v>64.452972399933046</v>
      </c>
      <c r="V46" t="s">
        <v>510</v>
      </c>
      <c r="W46" s="3">
        <f t="shared" ref="W46:W50" si="26">K46*4</f>
        <v>87.926412805716396</v>
      </c>
      <c r="X46" s="3">
        <f t="shared" si="21"/>
        <v>96.930500158709194</v>
      </c>
      <c r="Y46" s="3">
        <f t="shared" si="22"/>
        <v>0</v>
      </c>
    </row>
    <row r="47" spans="1:25" x14ac:dyDescent="0.2">
      <c r="A47" t="s">
        <v>512</v>
      </c>
      <c r="B47">
        <v>2.96705333916845E-2</v>
      </c>
      <c r="C47">
        <v>3.4683209277156103E-2</v>
      </c>
      <c r="D47">
        <v>3.4958461446395001E-2</v>
      </c>
      <c r="E47" t="s">
        <v>513</v>
      </c>
      <c r="F47">
        <v>0.224436552276958</v>
      </c>
      <c r="G47">
        <v>0.20296079312640999</v>
      </c>
      <c r="H47">
        <v>0.20579958624238601</v>
      </c>
      <c r="J47" t="s">
        <v>512</v>
      </c>
      <c r="K47" s="3">
        <v>4.2402537519224701</v>
      </c>
      <c r="L47" s="3">
        <v>21.432861620685198</v>
      </c>
      <c r="M47" s="3">
        <v>22.3470427636686</v>
      </c>
      <c r="N47">
        <f t="shared" si="23"/>
        <v>16.006719378758756</v>
      </c>
      <c r="O47" t="s">
        <v>513</v>
      </c>
      <c r="P47" s="3">
        <v>579.21000377649</v>
      </c>
      <c r="Q47" s="3">
        <v>518.616306672414</v>
      </c>
      <c r="R47" s="3">
        <v>526.64627357290203</v>
      </c>
      <c r="S47">
        <f t="shared" si="24"/>
        <v>541.49086134060201</v>
      </c>
      <c r="T47" s="6">
        <f t="shared" si="25"/>
        <v>63.058097035421191</v>
      </c>
      <c r="V47" t="s">
        <v>512</v>
      </c>
      <c r="W47" s="3">
        <f t="shared" si="26"/>
        <v>16.96101500768988</v>
      </c>
      <c r="X47" s="3">
        <f t="shared" si="21"/>
        <v>85.731446482740793</v>
      </c>
      <c r="Y47" s="3">
        <f t="shared" si="22"/>
        <v>89.388171054674402</v>
      </c>
    </row>
    <row r="48" spans="1:25" x14ac:dyDescent="0.2">
      <c r="A48" t="s">
        <v>514</v>
      </c>
      <c r="B48">
        <v>0.15285789038560699</v>
      </c>
      <c r="C48">
        <v>0.13444984489026901</v>
      </c>
      <c r="D48">
        <v>0.145777977848636</v>
      </c>
      <c r="E48" t="s">
        <v>515</v>
      </c>
      <c r="F48">
        <v>0.32062312727575099</v>
      </c>
      <c r="G48">
        <v>0.28759283056157797</v>
      </c>
      <c r="H48">
        <v>0.29505593481504899</v>
      </c>
      <c r="J48" t="s">
        <v>514</v>
      </c>
      <c r="K48" s="3">
        <v>375.74370152188499</v>
      </c>
      <c r="L48" s="3">
        <v>322.595064923726</v>
      </c>
      <c r="M48" s="3">
        <v>355.35038930821202</v>
      </c>
      <c r="N48">
        <f t="shared" si="23"/>
        <v>351.22971858460761</v>
      </c>
      <c r="O48" t="s">
        <v>515</v>
      </c>
      <c r="P48" s="3">
        <v>847.07321779556003</v>
      </c>
      <c r="Q48" s="3">
        <v>755.65814750009304</v>
      </c>
      <c r="R48" s="3">
        <v>776.360016005793</v>
      </c>
      <c r="S48">
        <f t="shared" si="24"/>
        <v>793.03046043381539</v>
      </c>
      <c r="T48" s="6">
        <f t="shared" si="25"/>
        <v>53.016089021904932</v>
      </c>
      <c r="V48" t="s">
        <v>514</v>
      </c>
      <c r="W48" s="3">
        <f t="shared" si="26"/>
        <v>1502.9748060875399</v>
      </c>
      <c r="X48" s="3">
        <f t="shared" si="21"/>
        <v>1290.380259694904</v>
      </c>
      <c r="Y48" s="3">
        <f t="shared" si="22"/>
        <v>1421.4015572328481</v>
      </c>
    </row>
    <row r="49" spans="1:25" x14ac:dyDescent="0.2">
      <c r="A49" t="s">
        <v>516</v>
      </c>
      <c r="B49">
        <v>1.05206664188826</v>
      </c>
      <c r="C49">
        <v>1.0078300787029799</v>
      </c>
      <c r="D49">
        <v>0.92922492488808095</v>
      </c>
      <c r="E49" t="s">
        <v>517</v>
      </c>
      <c r="F49">
        <v>1.1755115295605201</v>
      </c>
      <c r="G49">
        <v>1.0786955044453901</v>
      </c>
      <c r="H49">
        <v>1.01637105819704</v>
      </c>
      <c r="J49" t="s">
        <v>516</v>
      </c>
      <c r="K49" s="3">
        <v>2793.4939789987802</v>
      </c>
      <c r="L49" s="3">
        <v>2678.4834565001001</v>
      </c>
      <c r="M49" s="3">
        <v>2473.49081593552</v>
      </c>
      <c r="N49">
        <f t="shared" si="23"/>
        <v>2648.4894171448</v>
      </c>
      <c r="O49" t="s">
        <v>517</v>
      </c>
      <c r="P49" s="3">
        <v>3113.19507527215</v>
      </c>
      <c r="Q49" s="3">
        <v>2862.6092635373002</v>
      </c>
      <c r="R49" s="3">
        <v>2700.7082239104602</v>
      </c>
      <c r="S49">
        <f t="shared" si="24"/>
        <v>2892.1708542399701</v>
      </c>
      <c r="T49" s="6">
        <f t="shared" si="25"/>
        <v>29.241772451420417</v>
      </c>
      <c r="V49" t="s">
        <v>516</v>
      </c>
      <c r="W49" s="3">
        <f t="shared" si="26"/>
        <v>11173.975915995121</v>
      </c>
      <c r="X49" s="3">
        <f t="shared" si="21"/>
        <v>10713.933826000401</v>
      </c>
      <c r="Y49" s="3">
        <f t="shared" si="22"/>
        <v>9893.96326374208</v>
      </c>
    </row>
    <row r="50" spans="1:25" x14ac:dyDescent="0.2">
      <c r="A50" t="s">
        <v>518</v>
      </c>
      <c r="B50">
        <v>0.40873241105125202</v>
      </c>
      <c r="C50">
        <v>0.42103828157113399</v>
      </c>
      <c r="D50">
        <v>0.53182567137424497</v>
      </c>
      <c r="E50" t="s">
        <v>519</v>
      </c>
      <c r="F50">
        <v>0.69896678961320902</v>
      </c>
      <c r="G50">
        <v>0.61906657954518396</v>
      </c>
      <c r="H50">
        <v>0.57652428708034498</v>
      </c>
      <c r="J50" t="s">
        <v>518</v>
      </c>
      <c r="K50" s="3">
        <v>1088.6190995145801</v>
      </c>
      <c r="L50" s="3">
        <v>1122.12373711993</v>
      </c>
      <c r="M50" s="3">
        <v>1421.64412141408</v>
      </c>
      <c r="N50">
        <f t="shared" si="23"/>
        <v>1210.7956526828634</v>
      </c>
      <c r="O50" t="s">
        <v>519</v>
      </c>
      <c r="P50" s="3">
        <v>1867.6597811260699</v>
      </c>
      <c r="Q50" s="3">
        <v>1655.21536751944</v>
      </c>
      <c r="R50" s="3">
        <v>1541.54010736636</v>
      </c>
      <c r="S50">
        <f t="shared" si="24"/>
        <v>1688.1384186706234</v>
      </c>
      <c r="T50" s="6">
        <f t="shared" si="25"/>
        <v>57.281131918531202</v>
      </c>
      <c r="V50" t="s">
        <v>518</v>
      </c>
      <c r="W50" s="3">
        <f t="shared" si="26"/>
        <v>4354.4763980583202</v>
      </c>
      <c r="X50" s="3">
        <f t="shared" si="21"/>
        <v>4488.4949484797198</v>
      </c>
      <c r="Y50" s="3">
        <f t="shared" si="22"/>
        <v>5686.5764856563201</v>
      </c>
    </row>
    <row r="51" spans="1:25" x14ac:dyDescent="0.2">
      <c r="N51" s="5" t="s">
        <v>455</v>
      </c>
      <c r="S51" s="5" t="s">
        <v>455</v>
      </c>
      <c r="T51" t="s">
        <v>456</v>
      </c>
    </row>
    <row r="52" spans="1:25" x14ac:dyDescent="0.2">
      <c r="A52" t="s">
        <v>520</v>
      </c>
      <c r="B52">
        <v>3.0939316273057901E-2</v>
      </c>
      <c r="C52">
        <v>3.2124885484296699E-2</v>
      </c>
      <c r="D52">
        <v>3.2685114269634302E-2</v>
      </c>
      <c r="E52" t="s">
        <v>521</v>
      </c>
      <c r="F52">
        <v>0.22210387005611401</v>
      </c>
      <c r="G52">
        <v>0.198796760123364</v>
      </c>
      <c r="H52">
        <v>0.20864064427448101</v>
      </c>
      <c r="J52" t="s">
        <v>520</v>
      </c>
      <c r="K52" s="3">
        <v>8.7292543291900806</v>
      </c>
      <c r="L52" s="3">
        <v>12.8179434930812</v>
      </c>
      <c r="M52" s="3">
        <v>14.724061500321101</v>
      </c>
      <c r="N52">
        <f>AVERAGE(K52:M52)</f>
        <v>12.090419774197459</v>
      </c>
      <c r="O52" t="s">
        <v>521</v>
      </c>
      <c r="P52" s="3">
        <v>572.64377346088497</v>
      </c>
      <c r="Q52" s="3">
        <v>506.827154482732</v>
      </c>
      <c r="R52" s="3">
        <v>534.67566239877499</v>
      </c>
      <c r="S52">
        <f>AVERAGE(P52:R52)</f>
        <v>538.04886344746399</v>
      </c>
      <c r="T52" s="6">
        <f>(S52-N52)/(80*5000/480)*100</f>
        <v>63.115013240791981</v>
      </c>
      <c r="V52" t="s">
        <v>520</v>
      </c>
      <c r="W52" s="3">
        <f>K52*8</f>
        <v>69.834034633520645</v>
      </c>
      <c r="X52" s="3">
        <f t="shared" ref="X52:X57" si="27">L52*8</f>
        <v>102.5435479446496</v>
      </c>
      <c r="Y52" s="3">
        <f t="shared" ref="Y52:Y57" si="28">M52*8</f>
        <v>117.79249200256881</v>
      </c>
    </row>
    <row r="53" spans="1:25" x14ac:dyDescent="0.2">
      <c r="A53" t="s">
        <v>522</v>
      </c>
      <c r="B53">
        <v>2.7559910092643101E-2</v>
      </c>
      <c r="C53">
        <v>3.1876386814902097E-2</v>
      </c>
      <c r="D53">
        <v>3.35346524337886E-2</v>
      </c>
      <c r="E53" t="s">
        <v>523</v>
      </c>
      <c r="F53">
        <v>0.21496297161511599</v>
      </c>
      <c r="G53">
        <v>0.225909486003709</v>
      </c>
      <c r="H53">
        <v>0.217222103441534</v>
      </c>
      <c r="J53" t="s">
        <v>522</v>
      </c>
      <c r="K53" s="3"/>
      <c r="L53" s="3">
        <v>11.965861269146901</v>
      </c>
      <c r="M53" s="3">
        <v>17.593890377212102</v>
      </c>
      <c r="N53">
        <f t="shared" ref="N53:N57" si="29">AVERAGE(K53:M53)</f>
        <v>14.779875823179502</v>
      </c>
      <c r="O53" t="s">
        <v>523</v>
      </c>
      <c r="P53" s="3">
        <v>552.52137656041805</v>
      </c>
      <c r="Q53" s="3">
        <v>583.35099723693702</v>
      </c>
      <c r="R53" s="3">
        <v>558.89091274811506</v>
      </c>
      <c r="S53">
        <f t="shared" ref="S53:S57" si="30">AVERAGE(P53:R53)</f>
        <v>564.92109551515671</v>
      </c>
      <c r="T53" s="6">
        <f t="shared" ref="T53:T57" si="31">(S53-N53)/(80*5000/480)*100</f>
        <v>66.016946363037263</v>
      </c>
      <c r="V53" t="s">
        <v>522</v>
      </c>
      <c r="W53" s="3">
        <f t="shared" ref="W53:W57" si="32">K53*8</f>
        <v>0</v>
      </c>
      <c r="X53" s="3">
        <f t="shared" si="27"/>
        <v>95.726890153175205</v>
      </c>
      <c r="Y53" s="3">
        <f t="shared" si="28"/>
        <v>140.75112301769681</v>
      </c>
    </row>
    <row r="54" spans="1:25" x14ac:dyDescent="0.2">
      <c r="A54" t="s">
        <v>524</v>
      </c>
      <c r="B54">
        <v>3.2720886554543797E-2</v>
      </c>
      <c r="C54">
        <v>3.2876263207992501E-2</v>
      </c>
      <c r="D54">
        <v>3.3521084281537099E-2</v>
      </c>
      <c r="E54" t="s">
        <v>525</v>
      </c>
      <c r="F54">
        <v>0.22125683799951101</v>
      </c>
      <c r="G54" t="s">
        <v>526</v>
      </c>
      <c r="H54">
        <v>0.215392058237315</v>
      </c>
      <c r="J54" t="s">
        <v>524</v>
      </c>
      <c r="K54" s="3">
        <v>14.8461505027493</v>
      </c>
      <c r="L54" s="3">
        <v>15.3712336384302</v>
      </c>
      <c r="M54" s="3">
        <v>17.5468266762417</v>
      </c>
      <c r="N54">
        <f t="shared" si="29"/>
        <v>15.921403605807066</v>
      </c>
      <c r="O54" t="s">
        <v>525</v>
      </c>
      <c r="P54" s="3">
        <v>570.25894488979498</v>
      </c>
      <c r="Q54" s="3"/>
      <c r="R54" s="3">
        <v>553.73128258303802</v>
      </c>
      <c r="S54">
        <f t="shared" si="30"/>
        <v>561.99511373641644</v>
      </c>
      <c r="T54" s="6">
        <f t="shared" si="31"/>
        <v>65.528845215673115</v>
      </c>
      <c r="V54" t="s">
        <v>524</v>
      </c>
      <c r="W54" s="3">
        <f t="shared" si="32"/>
        <v>118.7692040219944</v>
      </c>
      <c r="X54" s="3">
        <f t="shared" si="27"/>
        <v>122.9698691074416</v>
      </c>
      <c r="Y54" s="3">
        <f t="shared" si="28"/>
        <v>140.3746134099336</v>
      </c>
    </row>
    <row r="55" spans="1:25" x14ac:dyDescent="0.2">
      <c r="A55" t="s">
        <v>527</v>
      </c>
      <c r="B55">
        <v>6.7557444341708295E-2</v>
      </c>
      <c r="C55">
        <v>7.4384274784223006E-2</v>
      </c>
      <c r="D55">
        <v>7.7845052448670404E-2</v>
      </c>
      <c r="E55" t="s">
        <v>528</v>
      </c>
      <c r="F55">
        <v>0.25059049674434802</v>
      </c>
      <c r="G55">
        <v>0.25023233118525601</v>
      </c>
      <c r="H55">
        <v>0.232776006157321</v>
      </c>
      <c r="J55" t="s">
        <v>527</v>
      </c>
      <c r="K55" s="3">
        <v>124.70562752276101</v>
      </c>
      <c r="L55" s="3">
        <v>145.39359010975801</v>
      </c>
      <c r="M55" s="3">
        <v>155.823060056305</v>
      </c>
      <c r="N55">
        <f t="shared" si="29"/>
        <v>141.97409256294134</v>
      </c>
      <c r="O55" t="s">
        <v>528</v>
      </c>
      <c r="P55" s="3">
        <v>652.56876093664505</v>
      </c>
      <c r="Q55" s="3">
        <v>651.56751898208404</v>
      </c>
      <c r="R55" s="3">
        <v>602.64948751618704</v>
      </c>
      <c r="S55">
        <f t="shared" si="30"/>
        <v>635.59525581163871</v>
      </c>
      <c r="T55" s="6">
        <f t="shared" si="31"/>
        <v>59.234539589843685</v>
      </c>
      <c r="V55" t="s">
        <v>527</v>
      </c>
      <c r="W55" s="3">
        <f t="shared" si="32"/>
        <v>997.64502018208805</v>
      </c>
      <c r="X55" s="3">
        <f t="shared" si="27"/>
        <v>1163.1487208780641</v>
      </c>
      <c r="Y55" s="3">
        <f t="shared" si="28"/>
        <v>1246.58448045044</v>
      </c>
    </row>
    <row r="56" spans="1:25" x14ac:dyDescent="0.2">
      <c r="A56" t="s">
        <v>529</v>
      </c>
      <c r="B56">
        <v>0.68160621563172896</v>
      </c>
      <c r="C56">
        <v>0.72218664635065599</v>
      </c>
      <c r="D56">
        <v>0.69152350255363404</v>
      </c>
      <c r="E56" t="s">
        <v>530</v>
      </c>
      <c r="F56">
        <v>0.92620274842583405</v>
      </c>
      <c r="G56" t="s">
        <v>46</v>
      </c>
      <c r="H56">
        <v>0.79497966101443196</v>
      </c>
      <c r="J56" t="s">
        <v>529</v>
      </c>
      <c r="K56" s="3">
        <v>1821.60859924804</v>
      </c>
      <c r="L56" s="3">
        <v>1929.1623602397799</v>
      </c>
      <c r="M56" s="3">
        <v>1847.92390182291</v>
      </c>
      <c r="N56">
        <f t="shared" si="29"/>
        <v>1866.2316204369099</v>
      </c>
      <c r="O56" t="s">
        <v>530</v>
      </c>
      <c r="P56" s="3">
        <v>2465.5929461712899</v>
      </c>
      <c r="Q56" s="3"/>
      <c r="R56" s="3">
        <v>2121.3377791049102</v>
      </c>
      <c r="S56">
        <f t="shared" si="30"/>
        <v>2293.4653626381</v>
      </c>
      <c r="T56" s="6">
        <f t="shared" si="31"/>
        <v>51.268049064142815</v>
      </c>
      <c r="V56" t="s">
        <v>529</v>
      </c>
      <c r="W56" s="3">
        <f t="shared" si="32"/>
        <v>14572.86879398432</v>
      </c>
      <c r="X56" s="3">
        <f t="shared" si="27"/>
        <v>15433.298881918239</v>
      </c>
      <c r="Y56" s="3">
        <f t="shared" si="28"/>
        <v>14783.39121458328</v>
      </c>
    </row>
    <row r="57" spans="1:25" x14ac:dyDescent="0.2">
      <c r="A57" t="s">
        <v>531</v>
      </c>
      <c r="B57">
        <v>0.15722404623886799</v>
      </c>
      <c r="C57">
        <v>0.16116349495558199</v>
      </c>
      <c r="D57">
        <v>0.146311119270922</v>
      </c>
      <c r="E57" t="s">
        <v>532</v>
      </c>
      <c r="F57">
        <v>0.30548131909517301</v>
      </c>
      <c r="G57" t="s">
        <v>46</v>
      </c>
      <c r="H57">
        <v>0.288513327694991</v>
      </c>
      <c r="J57" t="s">
        <v>531</v>
      </c>
      <c r="K57" s="3">
        <v>388.29134223530201</v>
      </c>
      <c r="L57" s="3">
        <v>399.59410163505402</v>
      </c>
      <c r="M57" s="3">
        <v>356.88768258629699</v>
      </c>
      <c r="N57">
        <f t="shared" si="29"/>
        <v>381.59104215221765</v>
      </c>
      <c r="O57" t="s">
        <v>532</v>
      </c>
      <c r="P57" s="3">
        <v>805.23146760125303</v>
      </c>
      <c r="Q57" s="3"/>
      <c r="R57" s="3">
        <v>758.21171163191696</v>
      </c>
      <c r="S57">
        <f t="shared" si="30"/>
        <v>781.72158961658499</v>
      </c>
      <c r="T57" s="6">
        <f t="shared" si="31"/>
        <v>48.015665695724081</v>
      </c>
      <c r="V57" t="s">
        <v>531</v>
      </c>
      <c r="W57" s="3">
        <f t="shared" si="32"/>
        <v>3106.3307378824161</v>
      </c>
      <c r="X57" s="3">
        <f t="shared" si="27"/>
        <v>3196.7528130804321</v>
      </c>
      <c r="Y57" s="3">
        <f t="shared" si="28"/>
        <v>2855.1014606903759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0937-E09D-4E50-8DFE-FD99C289C204}">
  <dimension ref="A1:I25"/>
  <sheetViews>
    <sheetView workbookViewId="0">
      <selection activeCell="G29" sqref="G29"/>
    </sheetView>
  </sheetViews>
  <sheetFormatPr baseColWidth="10" defaultColWidth="8.83203125" defaultRowHeight="15" x14ac:dyDescent="0.2"/>
  <cols>
    <col min="6" max="6" width="27.83203125" customWidth="1"/>
    <col min="8" max="8" width="38.5" customWidth="1"/>
    <col min="10" max="10" width="21.5" customWidth="1"/>
  </cols>
  <sheetData>
    <row r="1" spans="1:9" ht="16" x14ac:dyDescent="0.2">
      <c r="A1" s="11" t="s">
        <v>533</v>
      </c>
      <c r="F1" t="s">
        <v>534</v>
      </c>
    </row>
    <row r="2" spans="1:9" x14ac:dyDescent="0.2">
      <c r="A2" t="s">
        <v>535</v>
      </c>
      <c r="F2" t="s">
        <v>452</v>
      </c>
      <c r="G2" t="s">
        <v>456</v>
      </c>
      <c r="H2" t="s">
        <v>495</v>
      </c>
      <c r="I2" t="s">
        <v>456</v>
      </c>
    </row>
    <row r="3" spans="1:9" ht="16" x14ac:dyDescent="0.2">
      <c r="A3" s="12">
        <v>1</v>
      </c>
      <c r="B3" t="s">
        <v>536</v>
      </c>
      <c r="F3">
        <v>1</v>
      </c>
      <c r="G3">
        <v>35.196724365180359</v>
      </c>
      <c r="H3">
        <v>1</v>
      </c>
      <c r="I3">
        <v>61.961681050839722</v>
      </c>
    </row>
    <row r="4" spans="1:9" ht="16" x14ac:dyDescent="0.2">
      <c r="A4" s="12">
        <v>2</v>
      </c>
      <c r="B4" t="s">
        <v>537</v>
      </c>
      <c r="F4">
        <v>2</v>
      </c>
      <c r="G4">
        <v>32.379451262397758</v>
      </c>
      <c r="H4">
        <v>2</v>
      </c>
      <c r="I4">
        <v>60.761471294479406</v>
      </c>
    </row>
    <row r="5" spans="1:9" ht="16" x14ac:dyDescent="0.2">
      <c r="A5" s="12">
        <v>3</v>
      </c>
      <c r="B5" t="s">
        <v>538</v>
      </c>
      <c r="F5">
        <v>3</v>
      </c>
      <c r="G5">
        <v>47.303208772334337</v>
      </c>
      <c r="H5">
        <v>3</v>
      </c>
      <c r="I5">
        <v>65.554220635057447</v>
      </c>
    </row>
    <row r="6" spans="1:9" ht="16" x14ac:dyDescent="0.2">
      <c r="A6" s="11" t="s">
        <v>539</v>
      </c>
      <c r="F6">
        <v>4</v>
      </c>
      <c r="G6">
        <v>10.341174166316378</v>
      </c>
      <c r="H6">
        <v>4</v>
      </c>
      <c r="I6">
        <v>44.857341727414777</v>
      </c>
    </row>
    <row r="7" spans="1:9" ht="16" x14ac:dyDescent="0.2">
      <c r="A7" s="12">
        <v>4</v>
      </c>
      <c r="B7" t="s">
        <v>540</v>
      </c>
      <c r="F7">
        <v>5</v>
      </c>
      <c r="G7">
        <v>45.831680771544029</v>
      </c>
      <c r="H7">
        <v>5</v>
      </c>
      <c r="I7" t="e">
        <v>#DIV/0!</v>
      </c>
    </row>
    <row r="8" spans="1:9" ht="16" x14ac:dyDescent="0.2">
      <c r="A8" s="12">
        <v>5</v>
      </c>
      <c r="B8" t="s">
        <v>541</v>
      </c>
      <c r="F8">
        <v>6</v>
      </c>
      <c r="G8">
        <v>9.9779611528675911</v>
      </c>
      <c r="H8">
        <v>6</v>
      </c>
      <c r="I8" t="e">
        <v>#DIV/0!</v>
      </c>
    </row>
    <row r="9" spans="1:9" ht="16" x14ac:dyDescent="0.2">
      <c r="A9" s="12">
        <v>6</v>
      </c>
      <c r="B9" t="s">
        <v>542</v>
      </c>
      <c r="F9" t="s">
        <v>469</v>
      </c>
      <c r="G9" t="s">
        <v>456</v>
      </c>
      <c r="H9" t="s">
        <v>543</v>
      </c>
      <c r="I9" t="s">
        <v>456</v>
      </c>
    </row>
    <row r="10" spans="1:9" x14ac:dyDescent="0.2">
      <c r="F10">
        <v>1</v>
      </c>
      <c r="G10">
        <v>55.976850560955413</v>
      </c>
      <c r="H10">
        <v>1</v>
      </c>
      <c r="I10" t="e">
        <v>#DIV/0!</v>
      </c>
    </row>
    <row r="11" spans="1:9" x14ac:dyDescent="0.2">
      <c r="F11">
        <v>2</v>
      </c>
      <c r="G11">
        <v>60.903512790074231</v>
      </c>
      <c r="H11">
        <v>2</v>
      </c>
      <c r="I11">
        <v>64.452972399933046</v>
      </c>
    </row>
    <row r="12" spans="1:9" x14ac:dyDescent="0.2">
      <c r="F12">
        <v>3</v>
      </c>
      <c r="G12">
        <v>61.440697921151312</v>
      </c>
      <c r="H12">
        <v>3</v>
      </c>
      <c r="I12">
        <v>63.058097035421191</v>
      </c>
    </row>
    <row r="13" spans="1:9" x14ac:dyDescent="0.2">
      <c r="F13">
        <v>4</v>
      </c>
      <c r="G13">
        <v>83.774630957864304</v>
      </c>
      <c r="H13">
        <v>4</v>
      </c>
      <c r="I13">
        <v>53.016089021904932</v>
      </c>
    </row>
    <row r="14" spans="1:9" x14ac:dyDescent="0.2">
      <c r="F14">
        <v>5</v>
      </c>
      <c r="G14">
        <v>82.906104819669579</v>
      </c>
      <c r="H14">
        <v>5</v>
      </c>
      <c r="I14">
        <v>29.241772451420417</v>
      </c>
    </row>
    <row r="15" spans="1:9" x14ac:dyDescent="0.2">
      <c r="F15">
        <v>6</v>
      </c>
      <c r="G15">
        <v>25.056646322896338</v>
      </c>
      <c r="H15">
        <v>6</v>
      </c>
      <c r="I15">
        <v>57.281131918531202</v>
      </c>
    </row>
    <row r="16" spans="1:9" x14ac:dyDescent="0.2">
      <c r="F16" t="s">
        <v>482</v>
      </c>
      <c r="G16" t="s">
        <v>456</v>
      </c>
      <c r="H16" t="s">
        <v>544</v>
      </c>
      <c r="I16" t="s">
        <v>456</v>
      </c>
    </row>
    <row r="17" spans="6:9" x14ac:dyDescent="0.2">
      <c r="F17">
        <v>1</v>
      </c>
      <c r="G17">
        <v>61.925455255475235</v>
      </c>
      <c r="H17">
        <v>1</v>
      </c>
      <c r="I17">
        <v>63.115013240791981</v>
      </c>
    </row>
    <row r="18" spans="6:9" x14ac:dyDescent="0.2">
      <c r="F18">
        <v>2</v>
      </c>
      <c r="G18">
        <v>64.047033643794208</v>
      </c>
      <c r="H18">
        <v>2</v>
      </c>
      <c r="I18">
        <v>66.016946363037263</v>
      </c>
    </row>
    <row r="19" spans="6:9" x14ac:dyDescent="0.2">
      <c r="F19">
        <v>3</v>
      </c>
      <c r="G19">
        <v>66.301220077592021</v>
      </c>
      <c r="H19">
        <v>3</v>
      </c>
      <c r="I19">
        <v>65.528845215673115</v>
      </c>
    </row>
    <row r="20" spans="6:9" x14ac:dyDescent="0.2">
      <c r="F20">
        <v>4</v>
      </c>
      <c r="G20">
        <v>33.031448433743485</v>
      </c>
      <c r="H20">
        <v>4</v>
      </c>
      <c r="I20">
        <v>59.234539589843685</v>
      </c>
    </row>
    <row r="21" spans="6:9" x14ac:dyDescent="0.2">
      <c r="F21">
        <v>5</v>
      </c>
      <c r="G21">
        <v>-17.148853416203185</v>
      </c>
      <c r="H21">
        <v>5</v>
      </c>
      <c r="I21">
        <v>51.268049064142815</v>
      </c>
    </row>
    <row r="22" spans="6:9" x14ac:dyDescent="0.2">
      <c r="F22">
        <v>6</v>
      </c>
      <c r="G22">
        <v>40.163895268395791</v>
      </c>
      <c r="H22">
        <v>6</v>
      </c>
      <c r="I22">
        <v>48.015665695724081</v>
      </c>
    </row>
    <row r="24" spans="6:9" x14ac:dyDescent="0.2">
      <c r="G24" t="s">
        <v>456</v>
      </c>
    </row>
    <row r="25" spans="6:9" x14ac:dyDescent="0.2">
      <c r="F25" t="s">
        <v>545</v>
      </c>
      <c r="G25">
        <v>76.918592943393037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analyzed 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Gibson, Travis E.</cp:lastModifiedBy>
  <cp:revision/>
  <dcterms:created xsi:type="dcterms:W3CDTF">2023-08-12T16:31:49Z</dcterms:created>
  <dcterms:modified xsi:type="dcterms:W3CDTF">2025-12-11T15:24:22Z</dcterms:modified>
  <cp:category/>
  <cp:contentStatus/>
</cp:coreProperties>
</file>