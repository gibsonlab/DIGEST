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g14/Library/CloudStorage/Dropbox/Walt:Gibson lab shared folder/final_paper/v2_trim_data_tables_public_facing_2026_feb/mouse time series/data/"/>
    </mc:Choice>
  </mc:AlternateContent>
  <xr:revisionPtr revIDLastSave="0" documentId="13_ncr:1_{7CAD9886-6601-8844-85AE-2CCA4F3F2BE9}" xr6:coauthVersionLast="47" xr6:coauthVersionMax="47" xr10:uidLastSave="{00000000-0000-0000-0000-000000000000}"/>
  <bookViews>
    <workbookView xWindow="3800" yWindow="3440" windowWidth="47400" windowHeight="24020" xr2:uid="{88515F39-E021-0341-BF90-13F62D50DC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" i="1" l="1"/>
  <c r="AK5" i="1" s="1"/>
  <c r="AK6" i="1" s="1"/>
  <c r="AK7" i="1" s="1"/>
  <c r="AK8" i="1" s="1"/>
  <c r="AK9" i="1" s="1"/>
  <c r="AK10" i="1" s="1"/>
  <c r="AK11" i="1" s="1"/>
  <c r="AK12" i="1" s="1"/>
  <c r="AE4" i="1"/>
  <c r="AE5" i="1" s="1"/>
  <c r="AE6" i="1" s="1"/>
  <c r="AE7" i="1" s="1"/>
  <c r="AE8" i="1" s="1"/>
  <c r="AE9" i="1" s="1"/>
  <c r="AE10" i="1" s="1"/>
  <c r="AE11" i="1" s="1"/>
  <c r="AE12" i="1" s="1"/>
  <c r="Y4" i="1"/>
  <c r="Y5" i="1" s="1"/>
  <c r="Y6" i="1" s="1"/>
  <c r="Y7" i="1" s="1"/>
  <c r="Y8" i="1" s="1"/>
  <c r="Y9" i="1" s="1"/>
  <c r="Y10" i="1" s="1"/>
  <c r="Y11" i="1" s="1"/>
  <c r="Y12" i="1" s="1"/>
  <c r="S4" i="1"/>
  <c r="S5" i="1" s="1"/>
  <c r="S6" i="1" s="1"/>
  <c r="S7" i="1" s="1"/>
  <c r="S8" i="1" s="1"/>
  <c r="S9" i="1" s="1"/>
  <c r="S10" i="1" s="1"/>
  <c r="S11" i="1" s="1"/>
  <c r="S12" i="1" s="1"/>
  <c r="M4" i="1"/>
  <c r="M5" i="1" s="1"/>
  <c r="M6" i="1" s="1"/>
  <c r="M7" i="1" s="1"/>
  <c r="M8" i="1" s="1"/>
  <c r="M9" i="1" s="1"/>
  <c r="M10" i="1" s="1"/>
  <c r="M11" i="1" s="1"/>
  <c r="M12" i="1" s="1"/>
  <c r="G4" i="1"/>
  <c r="G5" i="1" s="1"/>
  <c r="G6" i="1" s="1"/>
  <c r="G7" i="1" s="1"/>
  <c r="G8" i="1" s="1"/>
  <c r="G9" i="1" s="1"/>
  <c r="G10" i="1" s="1"/>
  <c r="G11" i="1" s="1"/>
  <c r="G12" i="1" s="1"/>
</calcChain>
</file>

<file path=xl/sharedStrings.xml><?xml version="1.0" encoding="utf-8"?>
<sst xmlns="http://schemas.openxmlformats.org/spreadsheetml/2006/main" count="246" uniqueCount="41">
  <si>
    <t>mIL17 (pg/mL)</t>
  </si>
  <si>
    <t>frac on</t>
  </si>
  <si>
    <t>geo mean FL</t>
  </si>
  <si>
    <t>1-D1/4</t>
  </si>
  <si>
    <t>1-D5/4</t>
  </si>
  <si>
    <t>1-D25/4</t>
  </si>
  <si>
    <t>2-D1/4</t>
  </si>
  <si>
    <t>1-D6/16</t>
  </si>
  <si>
    <t>1-D6/48</t>
  </si>
  <si>
    <t>1-D8/48</t>
  </si>
  <si>
    <t>1-D19/48</t>
  </si>
  <si>
    <t>2-D5/4</t>
  </si>
  <si>
    <t>2-D25/4</t>
  </si>
  <si>
    <t>3-D1/4</t>
  </si>
  <si>
    <t>3-D5/4</t>
  </si>
  <si>
    <t>2-D6/16</t>
  </si>
  <si>
    <t>2-D6/48</t>
  </si>
  <si>
    <t>2-D8/48</t>
  </si>
  <si>
    <t>2-D19/48</t>
  </si>
  <si>
    <t>3-D25/4</t>
  </si>
  <si>
    <t>4-D1/4</t>
  </si>
  <si>
    <t>4-D5/4</t>
  </si>
  <si>
    <t>4-D25/4</t>
  </si>
  <si>
    <t>3-D6/16</t>
  </si>
  <si>
    <t>3-D6/48</t>
  </si>
  <si>
    <t>3-D8/48</t>
  </si>
  <si>
    <t>3-D19/48</t>
  </si>
  <si>
    <t>4-D6/16</t>
  </si>
  <si>
    <t>4-D6/48</t>
  </si>
  <si>
    <t>4-D8/48</t>
  </si>
  <si>
    <t>4-D19/48</t>
  </si>
  <si>
    <t>mouse#-day/dilution factor</t>
  </si>
  <si>
    <t>replicate 1</t>
  </si>
  <si>
    <t>replicate 2</t>
  </si>
  <si>
    <t>mIL22 (pg/mL)</t>
  </si>
  <si>
    <t>Geo Mean Fl</t>
  </si>
  <si>
    <t>mIL1b (pg/mL)</t>
  </si>
  <si>
    <t>mIL6 (pg/mL)</t>
  </si>
  <si>
    <t>mIL10 (pg/mL)</t>
  </si>
  <si>
    <t>mIL18 (pg/mL)</t>
  </si>
  <si>
    <t>mTNFa (pg/mL)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</si>
</sst>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E180-1EC6-354B-8C63-E6F0AB24A484}">
  <dimension ref="A1:AO42"/>
  <sheetViews>
    <sheetView tabSelected="1" zoomScale="164" zoomScaleNormal="164" workbookViewId="0">
      <selection activeCell="V13" sqref="V13"/>
    </sheetView>
  </sheetViews>
  <sheetFormatPr baseColWidth="10" defaultRowHeight="16" x14ac:dyDescent="0.2"/>
  <sheetData>
    <row r="1" spans="1:41" x14ac:dyDescent="0.2">
      <c r="A1" t="s">
        <v>0</v>
      </c>
      <c r="B1" t="s">
        <v>1</v>
      </c>
      <c r="D1" t="s">
        <v>2</v>
      </c>
      <c r="G1" t="s">
        <v>34</v>
      </c>
      <c r="H1" t="s">
        <v>1</v>
      </c>
      <c r="J1" t="s">
        <v>35</v>
      </c>
      <c r="M1" t="s">
        <v>36</v>
      </c>
      <c r="N1" t="s">
        <v>1</v>
      </c>
      <c r="P1" t="s">
        <v>35</v>
      </c>
      <c r="S1" t="s">
        <v>37</v>
      </c>
      <c r="T1" t="s">
        <v>1</v>
      </c>
      <c r="V1" t="s">
        <v>35</v>
      </c>
      <c r="Y1" t="s">
        <v>38</v>
      </c>
      <c r="Z1" t="s">
        <v>1</v>
      </c>
      <c r="AB1" t="s">
        <v>35</v>
      </c>
      <c r="AE1" t="s">
        <v>39</v>
      </c>
      <c r="AF1" t="s">
        <v>1</v>
      </c>
      <c r="AH1" t="s">
        <v>35</v>
      </c>
      <c r="AK1" t="s">
        <v>40</v>
      </c>
      <c r="AL1" t="s">
        <v>1</v>
      </c>
      <c r="AN1" t="s">
        <v>35</v>
      </c>
    </row>
    <row r="2" spans="1:41" x14ac:dyDescent="0.2">
      <c r="B2" t="s">
        <v>32</v>
      </c>
      <c r="C2" t="s">
        <v>33</v>
      </c>
      <c r="D2" t="s">
        <v>32</v>
      </c>
      <c r="E2" t="s">
        <v>33</v>
      </c>
      <c r="H2" t="s">
        <v>32</v>
      </c>
      <c r="I2" t="s">
        <v>33</v>
      </c>
      <c r="J2" t="s">
        <v>32</v>
      </c>
      <c r="K2" t="s">
        <v>33</v>
      </c>
      <c r="N2" t="s">
        <v>32</v>
      </c>
      <c r="O2" t="s">
        <v>33</v>
      </c>
      <c r="P2" t="s">
        <v>32</v>
      </c>
      <c r="Q2" t="s">
        <v>33</v>
      </c>
      <c r="T2" t="s">
        <v>32</v>
      </c>
      <c r="U2" t="s">
        <v>33</v>
      </c>
      <c r="V2" t="s">
        <v>32</v>
      </c>
      <c r="W2" t="s">
        <v>33</v>
      </c>
      <c r="Z2" t="s">
        <v>32</v>
      </c>
      <c r="AA2" t="s">
        <v>33</v>
      </c>
      <c r="AB2" t="s">
        <v>32</v>
      </c>
      <c r="AC2" t="s">
        <v>33</v>
      </c>
      <c r="AF2" t="s">
        <v>32</v>
      </c>
      <c r="AG2" t="s">
        <v>33</v>
      </c>
      <c r="AH2" t="s">
        <v>32</v>
      </c>
      <c r="AI2" t="s">
        <v>33</v>
      </c>
      <c r="AL2" t="s">
        <v>32</v>
      </c>
      <c r="AM2" t="s">
        <v>33</v>
      </c>
      <c r="AN2" t="s">
        <v>32</v>
      </c>
      <c r="AO2" t="s">
        <v>33</v>
      </c>
    </row>
    <row r="3" spans="1:41" x14ac:dyDescent="0.2">
      <c r="A3">
        <v>5000</v>
      </c>
      <c r="B3">
        <v>0.85199999999999998</v>
      </c>
      <c r="C3">
        <v>0.85199999999999998</v>
      </c>
      <c r="D3">
        <v>638000</v>
      </c>
      <c r="E3">
        <v>643000</v>
      </c>
      <c r="G3">
        <v>5000</v>
      </c>
      <c r="H3">
        <v>0.88400000000000001</v>
      </c>
      <c r="I3">
        <v>0.8640000000000001</v>
      </c>
      <c r="J3">
        <v>553000</v>
      </c>
      <c r="K3">
        <v>1100000</v>
      </c>
      <c r="M3">
        <v>5000</v>
      </c>
      <c r="N3">
        <v>0.92599999999999993</v>
      </c>
      <c r="O3">
        <v>0.95700000000000007</v>
      </c>
      <c r="P3">
        <v>353043</v>
      </c>
      <c r="Q3">
        <v>334581</v>
      </c>
      <c r="S3">
        <v>5000</v>
      </c>
      <c r="T3">
        <v>0.84699999999999998</v>
      </c>
      <c r="U3">
        <v>0.85599999999999998</v>
      </c>
      <c r="V3">
        <v>732000</v>
      </c>
      <c r="W3">
        <v>1010000</v>
      </c>
      <c r="Y3">
        <v>5000</v>
      </c>
      <c r="Z3">
        <v>0.90300000000000002</v>
      </c>
      <c r="AA3">
        <v>0.88099999999999989</v>
      </c>
      <c r="AB3">
        <v>583000</v>
      </c>
      <c r="AC3">
        <v>749000</v>
      </c>
      <c r="AE3">
        <v>5000</v>
      </c>
      <c r="AF3">
        <v>0.88700000000000001</v>
      </c>
      <c r="AG3">
        <v>0.90300000000000002</v>
      </c>
      <c r="AH3">
        <v>387228</v>
      </c>
      <c r="AI3">
        <v>380167</v>
      </c>
      <c r="AK3">
        <v>5000</v>
      </c>
      <c r="AL3">
        <v>0.81299999999999994</v>
      </c>
      <c r="AM3">
        <v>0.8909999999999999</v>
      </c>
      <c r="AN3">
        <v>32727</v>
      </c>
      <c r="AO3">
        <v>35368</v>
      </c>
    </row>
    <row r="4" spans="1:41" x14ac:dyDescent="0.2">
      <c r="A4">
        <v>1000</v>
      </c>
      <c r="B4">
        <v>0.871</v>
      </c>
      <c r="C4">
        <v>0.83</v>
      </c>
      <c r="D4">
        <v>299946</v>
      </c>
      <c r="E4">
        <v>306555</v>
      </c>
      <c r="G4">
        <f>G3/5</f>
        <v>1000</v>
      </c>
      <c r="H4">
        <v>0.91</v>
      </c>
      <c r="I4">
        <v>0.85799999999999998</v>
      </c>
      <c r="J4">
        <v>402000</v>
      </c>
      <c r="K4">
        <v>230191</v>
      </c>
      <c r="M4">
        <f>M3/5</f>
        <v>1000</v>
      </c>
      <c r="N4">
        <v>0.94799999999999995</v>
      </c>
      <c r="O4">
        <v>0.93299999999999994</v>
      </c>
      <c r="P4">
        <v>74756</v>
      </c>
      <c r="Q4">
        <v>75009</v>
      </c>
      <c r="S4">
        <f>S3/5</f>
        <v>1000</v>
      </c>
      <c r="T4">
        <v>0.90300000000000002</v>
      </c>
      <c r="U4">
        <v>0.91599999999999993</v>
      </c>
      <c r="V4">
        <v>650000</v>
      </c>
      <c r="W4">
        <v>661000</v>
      </c>
      <c r="Y4">
        <f>Y3/5</f>
        <v>1000</v>
      </c>
      <c r="Z4">
        <v>0.94799999999999995</v>
      </c>
      <c r="AA4">
        <v>0.95299999999999996</v>
      </c>
      <c r="AB4">
        <v>236837</v>
      </c>
      <c r="AC4">
        <v>247443</v>
      </c>
      <c r="AE4">
        <f>AE3/5</f>
        <v>1000</v>
      </c>
      <c r="AF4">
        <v>0.94700000000000006</v>
      </c>
      <c r="AG4">
        <v>0.93799999999999994</v>
      </c>
      <c r="AH4">
        <v>102381</v>
      </c>
      <c r="AI4">
        <v>108216</v>
      </c>
      <c r="AK4">
        <f>AK3/5</f>
        <v>1000</v>
      </c>
      <c r="AL4">
        <v>0.68700000000000006</v>
      </c>
      <c r="AM4">
        <v>0.70400000000000007</v>
      </c>
      <c r="AN4">
        <v>15680</v>
      </c>
      <c r="AO4">
        <v>17203</v>
      </c>
    </row>
    <row r="5" spans="1:41" x14ac:dyDescent="0.2">
      <c r="A5">
        <v>200</v>
      </c>
      <c r="B5">
        <v>0.83400000000000007</v>
      </c>
      <c r="C5">
        <v>0.80299999999999994</v>
      </c>
      <c r="D5">
        <v>68524</v>
      </c>
      <c r="E5">
        <v>73355</v>
      </c>
      <c r="G5">
        <f t="shared" ref="G5:G11" si="0">G4/5</f>
        <v>200</v>
      </c>
      <c r="H5">
        <v>0.90200000000000002</v>
      </c>
      <c r="I5">
        <v>0.91299999999999992</v>
      </c>
      <c r="J5">
        <v>55286</v>
      </c>
      <c r="K5">
        <v>82864</v>
      </c>
      <c r="M5">
        <f t="shared" ref="M5:M11" si="1">M4/5</f>
        <v>200</v>
      </c>
      <c r="N5">
        <v>0.58799999999999997</v>
      </c>
      <c r="O5">
        <v>0.48</v>
      </c>
      <c r="P5">
        <v>14880</v>
      </c>
      <c r="Q5">
        <v>12741</v>
      </c>
      <c r="S5">
        <f t="shared" ref="S5:S11" si="2">S4/5</f>
        <v>200</v>
      </c>
      <c r="T5">
        <v>0.91400000000000003</v>
      </c>
      <c r="U5">
        <v>0.93799999999999994</v>
      </c>
      <c r="V5">
        <v>73944</v>
      </c>
      <c r="W5">
        <v>120091</v>
      </c>
      <c r="Y5">
        <f t="shared" ref="Y5:Y11" si="3">Y4/5</f>
        <v>200</v>
      </c>
      <c r="Z5">
        <v>0.95400000000000007</v>
      </c>
      <c r="AA5">
        <v>0.94200000000000006</v>
      </c>
      <c r="AB5">
        <v>46065</v>
      </c>
      <c r="AC5">
        <v>45604</v>
      </c>
      <c r="AE5">
        <f t="shared" ref="AE5:AE11" si="4">AE4/5</f>
        <v>200</v>
      </c>
      <c r="AF5">
        <v>0.82900000000000007</v>
      </c>
      <c r="AG5">
        <v>0.84200000000000008</v>
      </c>
      <c r="AH5">
        <v>22668</v>
      </c>
      <c r="AI5">
        <v>22986</v>
      </c>
      <c r="AK5">
        <f t="shared" ref="AK5:AK11" si="5">AK4/5</f>
        <v>200</v>
      </c>
      <c r="AL5">
        <v>0.27399999999999997</v>
      </c>
      <c r="AM5">
        <v>0.27100000000000002</v>
      </c>
      <c r="AN5">
        <v>11099</v>
      </c>
      <c r="AO5">
        <v>10917</v>
      </c>
    </row>
    <row r="6" spans="1:41" x14ac:dyDescent="0.2">
      <c r="A6">
        <v>40</v>
      </c>
      <c r="B6">
        <v>0.747</v>
      </c>
      <c r="C6">
        <v>0.80299999999999994</v>
      </c>
      <c r="D6">
        <v>26206</v>
      </c>
      <c r="E6">
        <v>27603</v>
      </c>
      <c r="G6">
        <f t="shared" si="0"/>
        <v>40</v>
      </c>
      <c r="H6">
        <v>0.43799999999999994</v>
      </c>
      <c r="I6">
        <v>0.47899999999999998</v>
      </c>
      <c r="J6">
        <v>13585</v>
      </c>
      <c r="K6">
        <v>14971</v>
      </c>
      <c r="M6">
        <f t="shared" si="1"/>
        <v>40</v>
      </c>
      <c r="N6">
        <v>9.8000000000000004E-2</v>
      </c>
      <c r="O6">
        <v>0.13900000000000001</v>
      </c>
      <c r="P6">
        <v>10257</v>
      </c>
      <c r="Q6">
        <v>10822</v>
      </c>
      <c r="S6">
        <f t="shared" si="2"/>
        <v>40</v>
      </c>
      <c r="T6">
        <v>0.93599999999999994</v>
      </c>
      <c r="U6">
        <v>0.95700000000000007</v>
      </c>
      <c r="V6">
        <v>41309</v>
      </c>
      <c r="W6">
        <v>37397</v>
      </c>
      <c r="Y6">
        <f t="shared" si="3"/>
        <v>40</v>
      </c>
      <c r="Z6">
        <v>0.63100000000000001</v>
      </c>
      <c r="AA6">
        <v>0.626</v>
      </c>
      <c r="AB6">
        <v>14075</v>
      </c>
      <c r="AC6">
        <v>13737</v>
      </c>
      <c r="AE6">
        <f t="shared" si="4"/>
        <v>40</v>
      </c>
      <c r="AF6">
        <v>0.33</v>
      </c>
      <c r="AG6">
        <v>0.28899999999999998</v>
      </c>
      <c r="AH6">
        <v>11942</v>
      </c>
      <c r="AI6">
        <v>11510</v>
      </c>
      <c r="AK6">
        <f t="shared" si="5"/>
        <v>40</v>
      </c>
      <c r="AL6">
        <v>6.5500000000000003E-2</v>
      </c>
      <c r="AM6">
        <v>6.2300000000000001E-2</v>
      </c>
      <c r="AN6">
        <v>9157</v>
      </c>
      <c r="AO6">
        <v>9527</v>
      </c>
    </row>
    <row r="7" spans="1:41" x14ac:dyDescent="0.2">
      <c r="A7">
        <v>8</v>
      </c>
      <c r="B7">
        <v>0.373</v>
      </c>
      <c r="C7">
        <v>0.34</v>
      </c>
      <c r="D7">
        <v>14693</v>
      </c>
      <c r="E7">
        <v>12932</v>
      </c>
      <c r="G7">
        <f t="shared" si="0"/>
        <v>8</v>
      </c>
      <c r="H7">
        <v>0.13600000000000001</v>
      </c>
      <c r="I7">
        <v>0.14000000000000001</v>
      </c>
      <c r="J7">
        <v>10233</v>
      </c>
      <c r="K7">
        <v>10594</v>
      </c>
      <c r="M7">
        <f t="shared" si="1"/>
        <v>8</v>
      </c>
      <c r="N7">
        <v>3.0300000000000001E-2</v>
      </c>
      <c r="O7">
        <v>3.5900000000000001E-2</v>
      </c>
      <c r="P7">
        <v>8292</v>
      </c>
      <c r="Q7">
        <v>9308</v>
      </c>
      <c r="S7">
        <f t="shared" si="2"/>
        <v>8</v>
      </c>
      <c r="T7">
        <v>0.63500000000000001</v>
      </c>
      <c r="U7">
        <v>0.60699999999999998</v>
      </c>
      <c r="V7">
        <v>11876</v>
      </c>
      <c r="W7">
        <v>11367</v>
      </c>
      <c r="Y7">
        <f t="shared" si="3"/>
        <v>8</v>
      </c>
      <c r="Z7">
        <v>0.20399999999999999</v>
      </c>
      <c r="AA7">
        <v>0.21199999999999999</v>
      </c>
      <c r="AB7">
        <v>10699</v>
      </c>
      <c r="AC7">
        <v>10880</v>
      </c>
      <c r="AE7">
        <f t="shared" si="4"/>
        <v>8</v>
      </c>
      <c r="AF7">
        <v>8.3400000000000002E-2</v>
      </c>
      <c r="AG7">
        <v>8.0299999999999996E-2</v>
      </c>
      <c r="AH7">
        <v>10743</v>
      </c>
      <c r="AI7">
        <v>10505</v>
      </c>
      <c r="AK7">
        <f t="shared" si="5"/>
        <v>8</v>
      </c>
      <c r="AL7">
        <v>3.4300000000000004E-2</v>
      </c>
      <c r="AM7">
        <v>4.1200000000000001E-2</v>
      </c>
      <c r="AN7">
        <v>8501</v>
      </c>
      <c r="AO7">
        <v>7516</v>
      </c>
    </row>
    <row r="8" spans="1:41" x14ac:dyDescent="0.2">
      <c r="A8">
        <v>1.6</v>
      </c>
      <c r="B8">
        <v>0.11199999999999999</v>
      </c>
      <c r="C8">
        <v>0.124</v>
      </c>
      <c r="D8">
        <v>10944</v>
      </c>
      <c r="E8">
        <v>11046</v>
      </c>
      <c r="G8">
        <f t="shared" si="0"/>
        <v>1.6</v>
      </c>
      <c r="H8">
        <v>5.9900000000000002E-2</v>
      </c>
      <c r="I8">
        <v>5.0300000000000004E-2</v>
      </c>
      <c r="J8">
        <v>9512</v>
      </c>
      <c r="K8">
        <v>9597</v>
      </c>
      <c r="M8">
        <f t="shared" si="1"/>
        <v>1.6</v>
      </c>
      <c r="N8">
        <v>1.4800000000000001E-2</v>
      </c>
      <c r="O8">
        <v>1.8000000000000002E-2</v>
      </c>
      <c r="P8">
        <v>9465</v>
      </c>
      <c r="Q8">
        <v>8947</v>
      </c>
      <c r="S8">
        <f t="shared" si="2"/>
        <v>1.6</v>
      </c>
      <c r="T8">
        <v>0.185</v>
      </c>
      <c r="U8">
        <v>0.2</v>
      </c>
      <c r="V8">
        <v>8626</v>
      </c>
      <c r="W8">
        <v>8688</v>
      </c>
      <c r="Y8">
        <f t="shared" si="3"/>
        <v>1.6</v>
      </c>
      <c r="Z8">
        <v>7.2700000000000001E-2</v>
      </c>
      <c r="AA8">
        <v>7.5700000000000003E-2</v>
      </c>
      <c r="AB8">
        <v>9921</v>
      </c>
      <c r="AC8">
        <v>9927</v>
      </c>
      <c r="AE8">
        <f t="shared" si="4"/>
        <v>1.6</v>
      </c>
      <c r="AF8">
        <v>7.4099999999999999E-2</v>
      </c>
      <c r="AG8">
        <v>4.8499999999999995E-2</v>
      </c>
      <c r="AH8">
        <v>10546</v>
      </c>
      <c r="AI8">
        <v>11397</v>
      </c>
      <c r="AK8">
        <f t="shared" si="5"/>
        <v>1.6</v>
      </c>
      <c r="AL8">
        <v>2.7200000000000002E-2</v>
      </c>
      <c r="AM8">
        <v>2.2700000000000001E-2</v>
      </c>
      <c r="AN8">
        <v>8860</v>
      </c>
      <c r="AO8">
        <v>8380</v>
      </c>
    </row>
    <row r="9" spans="1:41" x14ac:dyDescent="0.2">
      <c r="A9">
        <v>0.32</v>
      </c>
      <c r="B9">
        <v>4.4299999999999999E-2</v>
      </c>
      <c r="C9">
        <v>5.4600000000000003E-2</v>
      </c>
      <c r="D9">
        <v>11670</v>
      </c>
      <c r="E9">
        <v>12067</v>
      </c>
      <c r="G9">
        <f t="shared" si="0"/>
        <v>0.32</v>
      </c>
      <c r="H9">
        <v>4.4999999999999998E-2</v>
      </c>
      <c r="I9">
        <v>5.1100000000000007E-2</v>
      </c>
      <c r="J9">
        <v>8999</v>
      </c>
      <c r="K9">
        <v>9956</v>
      </c>
      <c r="M9">
        <f t="shared" si="1"/>
        <v>0.32</v>
      </c>
      <c r="N9">
        <v>7.1999999999999998E-3</v>
      </c>
      <c r="O9">
        <v>7.9000000000000008E-3</v>
      </c>
      <c r="P9">
        <v>10990</v>
      </c>
      <c r="Q9">
        <v>9389</v>
      </c>
      <c r="S9">
        <f t="shared" si="2"/>
        <v>0.32</v>
      </c>
      <c r="T9">
        <v>5.9400000000000001E-2</v>
      </c>
      <c r="U9">
        <v>8.539999999999999E-2</v>
      </c>
      <c r="V9">
        <v>8915</v>
      </c>
      <c r="W9">
        <v>8774</v>
      </c>
      <c r="Y9">
        <f t="shared" si="3"/>
        <v>0.32</v>
      </c>
      <c r="Z9">
        <v>4.3700000000000003E-2</v>
      </c>
      <c r="AA9">
        <v>4.9500000000000002E-2</v>
      </c>
      <c r="AB9">
        <v>9816</v>
      </c>
      <c r="AC9">
        <v>10389</v>
      </c>
      <c r="AE9">
        <f t="shared" si="4"/>
        <v>0.32</v>
      </c>
      <c r="AF9">
        <v>2.8500000000000001E-2</v>
      </c>
      <c r="AG9">
        <v>3.5499999999999997E-2</v>
      </c>
      <c r="AH9">
        <v>11656</v>
      </c>
      <c r="AI9">
        <v>11641</v>
      </c>
      <c r="AK9">
        <f t="shared" si="5"/>
        <v>0.32</v>
      </c>
      <c r="AL9">
        <v>2.1299999999999999E-2</v>
      </c>
      <c r="AM9">
        <v>1.43E-2</v>
      </c>
      <c r="AN9">
        <v>9942</v>
      </c>
      <c r="AO9">
        <v>8389</v>
      </c>
    </row>
    <row r="10" spans="1:41" x14ac:dyDescent="0.2">
      <c r="A10">
        <v>6.4000000000000001E-2</v>
      </c>
      <c r="B10">
        <v>3.6900000000000002E-2</v>
      </c>
      <c r="C10">
        <v>3.2000000000000001E-2</v>
      </c>
      <c r="D10">
        <v>14503</v>
      </c>
      <c r="E10">
        <v>11869</v>
      </c>
      <c r="G10">
        <f>G9/5</f>
        <v>6.4000000000000001E-2</v>
      </c>
      <c r="H10">
        <v>3.5200000000000002E-2</v>
      </c>
      <c r="I10">
        <v>2.1400000000000002E-2</v>
      </c>
      <c r="J10">
        <v>9845</v>
      </c>
      <c r="K10">
        <v>9386</v>
      </c>
      <c r="M10">
        <f>M9/5</f>
        <v>6.4000000000000001E-2</v>
      </c>
      <c r="N10">
        <v>1.0200000000000001E-2</v>
      </c>
      <c r="O10">
        <v>7.9000000000000008E-3</v>
      </c>
      <c r="P10">
        <v>8071</v>
      </c>
      <c r="Q10">
        <v>11478</v>
      </c>
      <c r="S10">
        <f>S9/5</f>
        <v>6.4000000000000001E-2</v>
      </c>
      <c r="T10">
        <v>2.5399999999999999E-2</v>
      </c>
      <c r="U10">
        <v>5.1299999999999998E-2</v>
      </c>
      <c r="V10">
        <v>8154</v>
      </c>
      <c r="W10">
        <v>8328</v>
      </c>
      <c r="Y10">
        <f>Y9/5</f>
        <v>6.4000000000000001E-2</v>
      </c>
      <c r="Z10">
        <v>3.6900000000000002E-2</v>
      </c>
      <c r="AA10">
        <v>3.1E-2</v>
      </c>
      <c r="AB10">
        <v>9800</v>
      </c>
      <c r="AC10">
        <v>10605</v>
      </c>
      <c r="AE10">
        <f>AE9/5</f>
        <v>6.4000000000000001E-2</v>
      </c>
      <c r="AF10">
        <v>2.64E-2</v>
      </c>
      <c r="AG10">
        <v>2.41E-2</v>
      </c>
      <c r="AH10">
        <v>12898</v>
      </c>
      <c r="AI10">
        <v>11152</v>
      </c>
      <c r="AK10">
        <f>AK9/5</f>
        <v>6.4000000000000001E-2</v>
      </c>
      <c r="AL10">
        <v>2.35E-2</v>
      </c>
      <c r="AM10">
        <v>1.41E-2</v>
      </c>
      <c r="AN10">
        <v>8803</v>
      </c>
      <c r="AO10">
        <v>7762</v>
      </c>
    </row>
    <row r="11" spans="1:41" x14ac:dyDescent="0.2">
      <c r="A11">
        <v>1.2800000000000001E-2</v>
      </c>
      <c r="B11">
        <v>2.9300000000000003E-2</v>
      </c>
      <c r="C11">
        <v>2.76E-2</v>
      </c>
      <c r="D11">
        <v>11478</v>
      </c>
      <c r="E11">
        <v>9512</v>
      </c>
      <c r="G11">
        <f t="shared" si="0"/>
        <v>1.2800000000000001E-2</v>
      </c>
      <c r="H11">
        <v>1.5600000000000001E-2</v>
      </c>
      <c r="I11">
        <v>1.6500000000000001E-2</v>
      </c>
      <c r="J11">
        <v>10857</v>
      </c>
      <c r="K11">
        <v>9068</v>
      </c>
      <c r="M11">
        <f t="shared" si="1"/>
        <v>1.2800000000000001E-2</v>
      </c>
      <c r="N11">
        <v>7.9000000000000008E-3</v>
      </c>
      <c r="O11">
        <v>6.7000000000000002E-3</v>
      </c>
      <c r="P11">
        <v>7927</v>
      </c>
      <c r="Q11">
        <v>10819</v>
      </c>
      <c r="S11">
        <f t="shared" si="2"/>
        <v>1.2800000000000001E-2</v>
      </c>
      <c r="T11">
        <v>1.7399999999999999E-2</v>
      </c>
      <c r="U11">
        <v>2.0299999999999999E-2</v>
      </c>
      <c r="V11">
        <v>9507</v>
      </c>
      <c r="W11">
        <v>7990</v>
      </c>
      <c r="Y11">
        <f t="shared" si="3"/>
        <v>1.2800000000000001E-2</v>
      </c>
      <c r="Z11">
        <v>3.0099999999999998E-2</v>
      </c>
      <c r="AA11">
        <v>3.9E-2</v>
      </c>
      <c r="AB11">
        <v>8945</v>
      </c>
      <c r="AC11">
        <v>8951</v>
      </c>
      <c r="AE11">
        <f t="shared" si="4"/>
        <v>1.2800000000000001E-2</v>
      </c>
      <c r="AF11">
        <v>2.29E-2</v>
      </c>
      <c r="AG11">
        <v>2.92E-2</v>
      </c>
      <c r="AH11">
        <v>10785</v>
      </c>
      <c r="AI11">
        <v>10029</v>
      </c>
      <c r="AK11">
        <f t="shared" si="5"/>
        <v>1.2800000000000001E-2</v>
      </c>
      <c r="AL11">
        <v>2.1700000000000001E-2</v>
      </c>
      <c r="AM11">
        <v>1.6899999999999998E-2</v>
      </c>
      <c r="AN11">
        <v>8269</v>
      </c>
      <c r="AO11">
        <v>8503</v>
      </c>
    </row>
    <row r="12" spans="1:41" x14ac:dyDescent="0.2">
      <c r="A12">
        <v>2.5600000000000002E-3</v>
      </c>
      <c r="B12">
        <v>2.5000000000000001E-2</v>
      </c>
      <c r="C12">
        <v>2.8300000000000002E-2</v>
      </c>
      <c r="D12">
        <v>10260</v>
      </c>
      <c r="E12">
        <v>10737</v>
      </c>
      <c r="G12">
        <f>G11/5</f>
        <v>2.5600000000000002E-3</v>
      </c>
      <c r="H12">
        <v>1.2199999999999999E-2</v>
      </c>
      <c r="I12">
        <v>1.78E-2</v>
      </c>
      <c r="J12">
        <v>11313</v>
      </c>
      <c r="K12">
        <v>9655</v>
      </c>
      <c r="M12">
        <f>M11/5</f>
        <v>2.5600000000000002E-3</v>
      </c>
      <c r="N12">
        <v>0.01</v>
      </c>
      <c r="O12">
        <v>9.4999999999999998E-3</v>
      </c>
      <c r="P12">
        <v>8482</v>
      </c>
      <c r="Q12">
        <v>10108</v>
      </c>
      <c r="S12">
        <f>S11/5</f>
        <v>2.5600000000000002E-3</v>
      </c>
      <c r="T12">
        <v>1.29E-2</v>
      </c>
      <c r="U12" s="1">
        <v>0.11799999999999999</v>
      </c>
      <c r="V12">
        <v>10948</v>
      </c>
      <c r="W12">
        <v>7726</v>
      </c>
      <c r="Y12">
        <f>Y11/5</f>
        <v>2.5600000000000002E-3</v>
      </c>
      <c r="Z12">
        <v>3.32E-2</v>
      </c>
      <c r="AA12">
        <v>3.2000000000000001E-2</v>
      </c>
      <c r="AB12">
        <v>8990</v>
      </c>
      <c r="AC12">
        <v>8821</v>
      </c>
      <c r="AE12">
        <f>AE11/5</f>
        <v>2.5600000000000002E-3</v>
      </c>
      <c r="AF12">
        <v>1.5900000000000001E-2</v>
      </c>
      <c r="AG12">
        <v>1.8700000000000001E-2</v>
      </c>
      <c r="AH12">
        <v>10377</v>
      </c>
      <c r="AI12">
        <v>10324</v>
      </c>
      <c r="AK12">
        <f>AK11/5</f>
        <v>2.5600000000000002E-3</v>
      </c>
      <c r="AL12">
        <v>1.9699999999999999E-2</v>
      </c>
      <c r="AM12">
        <v>1.9099999999999999E-2</v>
      </c>
      <c r="AN12">
        <v>7708</v>
      </c>
      <c r="AO12">
        <v>6931</v>
      </c>
    </row>
    <row r="13" spans="1:41" x14ac:dyDescent="0.2">
      <c r="A13">
        <v>0</v>
      </c>
      <c r="B13">
        <v>1.6199999999999999E-2</v>
      </c>
      <c r="C13">
        <v>2.3399999999999997E-2</v>
      </c>
      <c r="D13">
        <v>11295</v>
      </c>
      <c r="E13">
        <v>9715</v>
      </c>
      <c r="G13">
        <v>0</v>
      </c>
      <c r="H13">
        <v>1.49E-2</v>
      </c>
      <c r="I13">
        <v>1.6799999999999999E-2</v>
      </c>
      <c r="J13">
        <v>8581</v>
      </c>
      <c r="K13">
        <v>10650</v>
      </c>
      <c r="M13">
        <v>0</v>
      </c>
      <c r="N13">
        <v>1.1899999999999999E-2</v>
      </c>
      <c r="O13">
        <v>1.1599999999999999E-2</v>
      </c>
      <c r="P13">
        <v>7546</v>
      </c>
      <c r="Q13">
        <v>9621</v>
      </c>
      <c r="S13">
        <v>0</v>
      </c>
      <c r="T13">
        <v>1.2200000000000001E-2</v>
      </c>
      <c r="U13">
        <v>1.21E-2</v>
      </c>
      <c r="V13">
        <v>9578</v>
      </c>
      <c r="W13">
        <v>10019</v>
      </c>
      <c r="Y13">
        <v>0</v>
      </c>
      <c r="Z13">
        <v>3.1600000000000003E-2</v>
      </c>
      <c r="AA13">
        <v>3.2799999999999996E-2</v>
      </c>
      <c r="AB13">
        <v>8552</v>
      </c>
      <c r="AC13">
        <v>8961</v>
      </c>
      <c r="AE13">
        <v>0</v>
      </c>
      <c r="AF13">
        <v>0.02</v>
      </c>
      <c r="AG13">
        <v>2.12E-2</v>
      </c>
      <c r="AH13">
        <v>12281</v>
      </c>
      <c r="AI13">
        <v>11568</v>
      </c>
      <c r="AK13">
        <v>0</v>
      </c>
      <c r="AL13">
        <v>1.6299999999999999E-2</v>
      </c>
      <c r="AM13">
        <v>1.7299999999999999E-2</v>
      </c>
      <c r="AN13">
        <v>8058</v>
      </c>
      <c r="AO13">
        <v>8849</v>
      </c>
    </row>
    <row r="14" spans="1:41" x14ac:dyDescent="0.2">
      <c r="A14" t="s">
        <v>31</v>
      </c>
    </row>
    <row r="15" spans="1:41" x14ac:dyDescent="0.2">
      <c r="A15" t="s">
        <v>3</v>
      </c>
      <c r="B15">
        <v>3.5000000000000003E-2</v>
      </c>
      <c r="C15">
        <v>2.7200000000000002E-2</v>
      </c>
      <c r="D15">
        <v>9546</v>
      </c>
      <c r="E15">
        <v>10189</v>
      </c>
      <c r="G15" t="s">
        <v>3</v>
      </c>
      <c r="H15">
        <v>2.3700000000000002E-2</v>
      </c>
      <c r="I15">
        <v>2.53E-2</v>
      </c>
      <c r="J15">
        <v>8216</v>
      </c>
      <c r="K15">
        <v>8094</v>
      </c>
      <c r="M15" t="s">
        <v>3</v>
      </c>
      <c r="N15">
        <v>1.95E-2</v>
      </c>
      <c r="O15">
        <v>1.83E-2</v>
      </c>
      <c r="P15">
        <v>8189</v>
      </c>
      <c r="Q15">
        <v>9424</v>
      </c>
      <c r="S15" t="s">
        <v>3</v>
      </c>
      <c r="T15">
        <v>6.9199999999999998E-2</v>
      </c>
      <c r="U15">
        <v>1.5300000000000001E-2</v>
      </c>
      <c r="V15">
        <v>7253</v>
      </c>
      <c r="W15">
        <v>7944</v>
      </c>
      <c r="Y15" t="s">
        <v>3</v>
      </c>
      <c r="Z15">
        <v>2.9700000000000001E-2</v>
      </c>
      <c r="AA15">
        <v>2.7300000000000001E-2</v>
      </c>
      <c r="AB15">
        <v>9194</v>
      </c>
      <c r="AC15">
        <v>9266</v>
      </c>
      <c r="AE15" t="s">
        <v>3</v>
      </c>
      <c r="AF15">
        <v>2.2700000000000001E-2</v>
      </c>
      <c r="AG15">
        <v>5.9500000000000004E-2</v>
      </c>
      <c r="AH15">
        <v>9030</v>
      </c>
      <c r="AI15">
        <v>9088</v>
      </c>
      <c r="AK15" t="s">
        <v>3</v>
      </c>
      <c r="AL15">
        <v>0.10300000000000001</v>
      </c>
      <c r="AM15">
        <v>3.1899999999999998E-2</v>
      </c>
      <c r="AN15">
        <v>9063</v>
      </c>
      <c r="AO15">
        <v>9123</v>
      </c>
    </row>
    <row r="16" spans="1:41" x14ac:dyDescent="0.2">
      <c r="A16" t="s">
        <v>4</v>
      </c>
      <c r="B16">
        <v>1.7399999999999999E-2</v>
      </c>
      <c r="C16">
        <v>3.4099999999999998E-2</v>
      </c>
      <c r="D16">
        <v>10249</v>
      </c>
      <c r="E16">
        <v>10143</v>
      </c>
      <c r="G16" t="s">
        <v>4</v>
      </c>
      <c r="H16">
        <v>1.1000000000000001E-2</v>
      </c>
      <c r="I16">
        <v>9.3999999999999986E-3</v>
      </c>
      <c r="J16">
        <v>10309</v>
      </c>
      <c r="K16">
        <v>9407</v>
      </c>
      <c r="M16" t="s">
        <v>4</v>
      </c>
      <c r="N16">
        <v>1.5100000000000001E-2</v>
      </c>
      <c r="O16">
        <v>4.0000000000000001E-3</v>
      </c>
      <c r="P16">
        <v>9538</v>
      </c>
      <c r="Q16">
        <v>7696</v>
      </c>
      <c r="S16" t="s">
        <v>4</v>
      </c>
      <c r="T16">
        <v>9.7599999999999992E-2</v>
      </c>
      <c r="U16">
        <v>2.8500000000000001E-2</v>
      </c>
      <c r="V16">
        <v>6976</v>
      </c>
      <c r="W16">
        <v>9077</v>
      </c>
      <c r="Y16" t="s">
        <v>4</v>
      </c>
      <c r="Z16">
        <v>2.0400000000000001E-2</v>
      </c>
      <c r="AA16">
        <v>1.8600000000000002E-2</v>
      </c>
      <c r="AB16">
        <v>8646</v>
      </c>
      <c r="AC16">
        <v>9243</v>
      </c>
      <c r="AE16" t="s">
        <v>4</v>
      </c>
      <c r="AF16">
        <v>7.0199999999999999E-2</v>
      </c>
      <c r="AG16">
        <v>2.5600000000000001E-2</v>
      </c>
      <c r="AH16">
        <v>9694</v>
      </c>
      <c r="AI16">
        <v>9369</v>
      </c>
      <c r="AK16" t="s">
        <v>4</v>
      </c>
      <c r="AL16">
        <v>3.39E-2</v>
      </c>
      <c r="AM16">
        <v>9.300000000000001E-3</v>
      </c>
      <c r="AN16">
        <v>8895</v>
      </c>
      <c r="AO16">
        <v>9214</v>
      </c>
    </row>
    <row r="17" spans="1:41" x14ac:dyDescent="0.2">
      <c r="A17" t="s">
        <v>5</v>
      </c>
      <c r="B17">
        <v>3.6699999999999997E-2</v>
      </c>
      <c r="C17">
        <v>3.1E-2</v>
      </c>
      <c r="D17">
        <v>8732</v>
      </c>
      <c r="E17">
        <v>10728</v>
      </c>
      <c r="G17" t="s">
        <v>5</v>
      </c>
      <c r="H17">
        <v>2.2799999999999997E-2</v>
      </c>
      <c r="I17">
        <v>1.7399999999999999E-2</v>
      </c>
      <c r="J17">
        <v>10764</v>
      </c>
      <c r="K17">
        <v>9463</v>
      </c>
      <c r="M17" t="s">
        <v>5</v>
      </c>
      <c r="N17">
        <v>1.1399999999999999E-2</v>
      </c>
      <c r="O17">
        <v>2.1899999999999999E-2</v>
      </c>
      <c r="P17">
        <v>8704</v>
      </c>
      <c r="Q17">
        <v>8927</v>
      </c>
      <c r="S17" t="s">
        <v>5</v>
      </c>
      <c r="T17">
        <v>2.1700000000000001E-2</v>
      </c>
      <c r="U17">
        <v>0.02</v>
      </c>
      <c r="V17">
        <v>8138</v>
      </c>
      <c r="W17">
        <v>7882</v>
      </c>
      <c r="Y17" t="s">
        <v>5</v>
      </c>
      <c r="Z17">
        <v>0.02</v>
      </c>
      <c r="AA17">
        <v>1.8700000000000001E-2</v>
      </c>
      <c r="AB17">
        <v>8785</v>
      </c>
      <c r="AC17">
        <v>9404</v>
      </c>
      <c r="AE17" t="s">
        <v>5</v>
      </c>
      <c r="AF17">
        <v>1.3899999999999999E-2</v>
      </c>
      <c r="AG17">
        <v>1.61E-2</v>
      </c>
      <c r="AH17">
        <v>11314</v>
      </c>
      <c r="AI17">
        <v>11977</v>
      </c>
      <c r="AK17" t="s">
        <v>5</v>
      </c>
      <c r="AL17">
        <v>0.01</v>
      </c>
      <c r="AM17">
        <v>1.1000000000000001E-2</v>
      </c>
      <c r="AN17">
        <v>9685</v>
      </c>
      <c r="AO17">
        <v>8712</v>
      </c>
    </row>
    <row r="18" spans="1:41" x14ac:dyDescent="0.2">
      <c r="A18" t="s">
        <v>6</v>
      </c>
      <c r="B18">
        <v>1.72E-2</v>
      </c>
      <c r="C18">
        <v>5.3600000000000002E-2</v>
      </c>
      <c r="D18">
        <v>11670</v>
      </c>
      <c r="E18">
        <v>10239</v>
      </c>
      <c r="G18" t="s">
        <v>6</v>
      </c>
      <c r="H18">
        <v>2.7099999999999999E-2</v>
      </c>
      <c r="I18">
        <v>1.5900000000000001E-2</v>
      </c>
      <c r="J18">
        <v>11103</v>
      </c>
      <c r="K18">
        <v>9460</v>
      </c>
      <c r="M18" t="s">
        <v>6</v>
      </c>
      <c r="N18">
        <v>6.0000000000000001E-3</v>
      </c>
      <c r="O18">
        <v>6.8999999999999999E-3</v>
      </c>
      <c r="P18">
        <v>7210</v>
      </c>
      <c r="Q18">
        <v>8128</v>
      </c>
      <c r="S18" t="s">
        <v>6</v>
      </c>
      <c r="T18">
        <v>1.66E-2</v>
      </c>
      <c r="U18">
        <v>8.199999999999999E-3</v>
      </c>
      <c r="V18">
        <v>7423</v>
      </c>
      <c r="W18">
        <v>6620</v>
      </c>
      <c r="Y18" t="s">
        <v>6</v>
      </c>
      <c r="Z18">
        <v>1.9E-2</v>
      </c>
      <c r="AA18">
        <v>2.3E-2</v>
      </c>
      <c r="AB18">
        <v>8561</v>
      </c>
      <c r="AC18">
        <v>8470</v>
      </c>
      <c r="AE18" t="s">
        <v>6</v>
      </c>
      <c r="AF18">
        <v>1.8700000000000001E-2</v>
      </c>
      <c r="AG18">
        <v>1.3300000000000001E-2</v>
      </c>
      <c r="AH18">
        <v>10395</v>
      </c>
      <c r="AI18">
        <v>8692</v>
      </c>
      <c r="AK18" t="s">
        <v>6</v>
      </c>
      <c r="AL18">
        <v>8.0000000000000002E-3</v>
      </c>
      <c r="AM18">
        <v>7.8000000000000005E-3</v>
      </c>
      <c r="AN18">
        <v>8631</v>
      </c>
      <c r="AO18">
        <v>8530</v>
      </c>
    </row>
    <row r="19" spans="1:41" x14ac:dyDescent="0.2">
      <c r="A19" t="s">
        <v>7</v>
      </c>
      <c r="B19">
        <v>0.621</v>
      </c>
      <c r="C19">
        <v>0.63100000000000001</v>
      </c>
      <c r="D19">
        <v>15900</v>
      </c>
      <c r="E19">
        <v>15248</v>
      </c>
      <c r="G19" t="s">
        <v>7</v>
      </c>
      <c r="H19">
        <v>0.39299999999999996</v>
      </c>
      <c r="I19">
        <v>0.38600000000000001</v>
      </c>
      <c r="J19">
        <v>11976</v>
      </c>
      <c r="K19">
        <v>11395</v>
      </c>
      <c r="M19" t="s">
        <v>7</v>
      </c>
      <c r="N19">
        <v>0.30499999999999999</v>
      </c>
      <c r="O19">
        <v>0.313</v>
      </c>
      <c r="P19">
        <v>10754</v>
      </c>
      <c r="Q19">
        <v>11193</v>
      </c>
      <c r="S19" t="s">
        <v>7</v>
      </c>
      <c r="T19">
        <v>0.156</v>
      </c>
      <c r="U19">
        <v>0.16399999999999998</v>
      </c>
      <c r="V19">
        <v>8383</v>
      </c>
      <c r="W19">
        <v>8217</v>
      </c>
      <c r="Y19" t="s">
        <v>7</v>
      </c>
      <c r="Z19">
        <v>0.25600000000000001</v>
      </c>
      <c r="AA19">
        <v>0.25600000000000001</v>
      </c>
      <c r="AB19">
        <v>9856</v>
      </c>
      <c r="AC19">
        <v>10278</v>
      </c>
      <c r="AE19" t="s">
        <v>7</v>
      </c>
      <c r="AF19">
        <v>0.255</v>
      </c>
      <c r="AG19">
        <v>0.27899999999999997</v>
      </c>
      <c r="AH19">
        <v>10904</v>
      </c>
      <c r="AI19">
        <v>11081</v>
      </c>
      <c r="AK19" t="s">
        <v>7</v>
      </c>
      <c r="AL19">
        <v>0.17399999999999999</v>
      </c>
      <c r="AM19">
        <v>0.17800000000000002</v>
      </c>
      <c r="AN19">
        <v>9059</v>
      </c>
      <c r="AO19">
        <v>9080</v>
      </c>
    </row>
    <row r="20" spans="1:41" x14ac:dyDescent="0.2">
      <c r="A20" t="s">
        <v>8</v>
      </c>
      <c r="B20">
        <v>0.35899999999999999</v>
      </c>
      <c r="C20">
        <v>0.28800000000000003</v>
      </c>
      <c r="D20">
        <v>11441</v>
      </c>
      <c r="E20">
        <v>11522</v>
      </c>
      <c r="G20" t="s">
        <v>8</v>
      </c>
      <c r="H20">
        <v>0.16200000000000001</v>
      </c>
      <c r="I20">
        <v>0.10099999999999999</v>
      </c>
      <c r="J20">
        <v>9584</v>
      </c>
      <c r="K20">
        <v>8756</v>
      </c>
      <c r="M20" t="s">
        <v>8</v>
      </c>
      <c r="N20">
        <v>0.11699999999999999</v>
      </c>
      <c r="O20">
        <v>0.12300000000000001</v>
      </c>
      <c r="P20">
        <v>9259</v>
      </c>
      <c r="Q20">
        <v>9894</v>
      </c>
      <c r="S20" t="s">
        <v>8</v>
      </c>
      <c r="T20">
        <v>9.6000000000000002E-2</v>
      </c>
      <c r="U20">
        <v>4.7599999999999996E-2</v>
      </c>
      <c r="V20">
        <v>8097</v>
      </c>
      <c r="W20">
        <v>7453</v>
      </c>
      <c r="Y20" t="s">
        <v>8</v>
      </c>
      <c r="Z20">
        <v>0.105</v>
      </c>
      <c r="AA20">
        <v>0.11</v>
      </c>
      <c r="AB20">
        <v>9230</v>
      </c>
      <c r="AC20">
        <v>8944</v>
      </c>
      <c r="AE20" t="s">
        <v>8</v>
      </c>
      <c r="AF20">
        <v>0.13699999999999998</v>
      </c>
      <c r="AG20">
        <v>0.125</v>
      </c>
      <c r="AH20">
        <v>9693</v>
      </c>
      <c r="AI20">
        <v>9853</v>
      </c>
      <c r="AK20" t="s">
        <v>8</v>
      </c>
      <c r="AL20">
        <v>8.3100000000000007E-2</v>
      </c>
      <c r="AM20">
        <v>7.5999999999999998E-2</v>
      </c>
      <c r="AN20">
        <v>8259</v>
      </c>
      <c r="AO20">
        <v>8569</v>
      </c>
    </row>
    <row r="21" spans="1:41" x14ac:dyDescent="0.2">
      <c r="A21" t="s">
        <v>9</v>
      </c>
      <c r="B21">
        <v>0.871</v>
      </c>
      <c r="C21">
        <v>0.90799999999999992</v>
      </c>
      <c r="D21">
        <v>23082</v>
      </c>
      <c r="E21">
        <v>31207</v>
      </c>
      <c r="G21" t="s">
        <v>9</v>
      </c>
      <c r="H21">
        <v>0.69599999999999995</v>
      </c>
      <c r="I21">
        <v>0.55600000000000005</v>
      </c>
      <c r="J21">
        <v>15352</v>
      </c>
      <c r="K21">
        <v>12769</v>
      </c>
      <c r="M21" t="s">
        <v>9</v>
      </c>
      <c r="N21">
        <v>0.78</v>
      </c>
      <c r="O21">
        <v>0.78400000000000003</v>
      </c>
      <c r="P21">
        <v>18402</v>
      </c>
      <c r="Q21">
        <v>17685</v>
      </c>
      <c r="S21" t="s">
        <v>9</v>
      </c>
      <c r="T21">
        <v>0.52600000000000002</v>
      </c>
      <c r="U21">
        <v>0.55899999999999994</v>
      </c>
      <c r="V21">
        <v>10564</v>
      </c>
      <c r="W21">
        <v>10599</v>
      </c>
      <c r="Y21" t="s">
        <v>9</v>
      </c>
      <c r="Z21">
        <v>0.57499999999999996</v>
      </c>
      <c r="AA21">
        <v>0.66299999999999992</v>
      </c>
      <c r="AB21">
        <v>12931</v>
      </c>
      <c r="AC21">
        <v>13252</v>
      </c>
      <c r="AE21" t="s">
        <v>9</v>
      </c>
      <c r="AF21">
        <v>0.48799999999999999</v>
      </c>
      <c r="AG21">
        <v>0.49200000000000005</v>
      </c>
      <c r="AH21">
        <v>12451</v>
      </c>
      <c r="AI21">
        <v>12607</v>
      </c>
      <c r="AK21" t="s">
        <v>9</v>
      </c>
      <c r="AL21">
        <v>0.311</v>
      </c>
      <c r="AM21">
        <v>0.26400000000000001</v>
      </c>
      <c r="AN21">
        <v>9661</v>
      </c>
      <c r="AO21">
        <v>9166</v>
      </c>
    </row>
    <row r="22" spans="1:41" x14ac:dyDescent="0.2">
      <c r="A22" t="s">
        <v>10</v>
      </c>
      <c r="B22">
        <v>0.79</v>
      </c>
      <c r="C22">
        <v>0.70099999999999996</v>
      </c>
      <c r="D22">
        <v>18439</v>
      </c>
      <c r="E22">
        <v>16069</v>
      </c>
      <c r="G22" t="s">
        <v>10</v>
      </c>
      <c r="H22">
        <v>0.754</v>
      </c>
      <c r="I22">
        <v>0.69700000000000006</v>
      </c>
      <c r="J22">
        <v>16194</v>
      </c>
      <c r="K22">
        <v>14190</v>
      </c>
      <c r="M22" t="s">
        <v>10</v>
      </c>
      <c r="N22">
        <v>0.75700000000000001</v>
      </c>
      <c r="O22">
        <v>0.76500000000000001</v>
      </c>
      <c r="P22">
        <v>16444</v>
      </c>
      <c r="Q22">
        <v>16609</v>
      </c>
      <c r="S22" t="s">
        <v>10</v>
      </c>
      <c r="T22">
        <v>0.68200000000000005</v>
      </c>
      <c r="U22">
        <v>0.629</v>
      </c>
      <c r="V22">
        <v>12042</v>
      </c>
      <c r="W22">
        <v>11804</v>
      </c>
      <c r="Y22" t="s">
        <v>10</v>
      </c>
      <c r="Z22">
        <v>0.7390000000000001</v>
      </c>
      <c r="AA22">
        <v>0.72099999999999997</v>
      </c>
      <c r="AB22">
        <v>14581</v>
      </c>
      <c r="AC22">
        <v>14458</v>
      </c>
      <c r="AE22" t="s">
        <v>10</v>
      </c>
      <c r="AF22">
        <v>0.63900000000000001</v>
      </c>
      <c r="AG22">
        <v>0.65200000000000002</v>
      </c>
      <c r="AH22">
        <v>13674</v>
      </c>
      <c r="AI22">
        <v>14377</v>
      </c>
      <c r="AK22" t="s">
        <v>10</v>
      </c>
      <c r="AL22">
        <v>0.36099999999999999</v>
      </c>
      <c r="AM22">
        <v>0.32700000000000001</v>
      </c>
      <c r="AN22">
        <v>9931</v>
      </c>
      <c r="AO22">
        <v>9244</v>
      </c>
    </row>
    <row r="23" spans="1:41" x14ac:dyDescent="0.2">
      <c r="A23" t="s">
        <v>11</v>
      </c>
      <c r="B23">
        <v>2.8900000000000002E-2</v>
      </c>
      <c r="C23">
        <v>2.06E-2</v>
      </c>
      <c r="D23">
        <v>11219</v>
      </c>
      <c r="E23">
        <v>11251</v>
      </c>
      <c r="G23" t="s">
        <v>11</v>
      </c>
      <c r="H23">
        <v>1.78E-2</v>
      </c>
      <c r="I23">
        <v>9.1999999999999998E-3</v>
      </c>
      <c r="J23">
        <v>9021</v>
      </c>
      <c r="K23">
        <v>9144</v>
      </c>
      <c r="M23" t="s">
        <v>11</v>
      </c>
      <c r="N23">
        <v>1.2699999999999999E-2</v>
      </c>
      <c r="O23">
        <v>9.7999999999999997E-3</v>
      </c>
      <c r="P23">
        <v>10834</v>
      </c>
      <c r="Q23">
        <v>9236</v>
      </c>
      <c r="S23" t="s">
        <v>11</v>
      </c>
      <c r="T23">
        <v>4.0099999999999997E-2</v>
      </c>
      <c r="U23">
        <v>1.6899999999999998E-2</v>
      </c>
      <c r="V23">
        <v>7946</v>
      </c>
      <c r="W23">
        <v>7644</v>
      </c>
      <c r="Y23" t="s">
        <v>11</v>
      </c>
      <c r="Z23">
        <v>3.7400000000000003E-2</v>
      </c>
      <c r="AA23">
        <v>3.2300000000000002E-2</v>
      </c>
      <c r="AB23">
        <v>10458</v>
      </c>
      <c r="AC23">
        <v>10807</v>
      </c>
      <c r="AE23" t="s">
        <v>11</v>
      </c>
      <c r="AF23">
        <v>5.45E-2</v>
      </c>
      <c r="AG23">
        <v>6.7500000000000004E-2</v>
      </c>
      <c r="AH23">
        <v>9346</v>
      </c>
      <c r="AI23">
        <v>9589</v>
      </c>
      <c r="AK23" t="s">
        <v>11</v>
      </c>
      <c r="AL23">
        <v>1.7000000000000001E-2</v>
      </c>
      <c r="AM23">
        <v>1.1599999999999999E-2</v>
      </c>
      <c r="AN23">
        <v>9685</v>
      </c>
      <c r="AO23">
        <v>11315</v>
      </c>
    </row>
    <row r="24" spans="1:41" x14ac:dyDescent="0.2">
      <c r="A24" t="s">
        <v>12</v>
      </c>
      <c r="B24">
        <v>0.109</v>
      </c>
      <c r="C24">
        <v>0.11599999999999999</v>
      </c>
      <c r="D24">
        <v>10767</v>
      </c>
      <c r="E24">
        <v>10249</v>
      </c>
      <c r="G24" t="s">
        <v>12</v>
      </c>
      <c r="H24">
        <v>5.5999999999999994E-2</v>
      </c>
      <c r="I24">
        <v>4.7899999999999998E-2</v>
      </c>
      <c r="J24">
        <v>10119</v>
      </c>
      <c r="K24">
        <v>10552</v>
      </c>
      <c r="M24" t="s">
        <v>12</v>
      </c>
      <c r="N24">
        <v>3.0699999999999998E-2</v>
      </c>
      <c r="O24">
        <v>4.36E-2</v>
      </c>
      <c r="P24">
        <v>9926</v>
      </c>
      <c r="Q24">
        <v>9586</v>
      </c>
      <c r="S24" t="s">
        <v>12</v>
      </c>
      <c r="T24">
        <v>4.8000000000000001E-2</v>
      </c>
      <c r="U24">
        <v>4.5199999999999997E-2</v>
      </c>
      <c r="V24">
        <v>8371</v>
      </c>
      <c r="W24">
        <v>8133</v>
      </c>
      <c r="Y24" t="s">
        <v>12</v>
      </c>
      <c r="Z24">
        <v>4.07E-2</v>
      </c>
      <c r="AA24">
        <v>5.7000000000000002E-2</v>
      </c>
      <c r="AB24">
        <v>9608</v>
      </c>
      <c r="AC24">
        <v>9072</v>
      </c>
      <c r="AE24" t="s">
        <v>12</v>
      </c>
      <c r="AF24">
        <v>6.0400000000000002E-2</v>
      </c>
      <c r="AG24">
        <v>2.9100000000000001E-2</v>
      </c>
      <c r="AH24">
        <v>9601</v>
      </c>
      <c r="AI24">
        <v>9885</v>
      </c>
      <c r="AK24" t="s">
        <v>12</v>
      </c>
      <c r="AL24">
        <v>3.2500000000000001E-2</v>
      </c>
      <c r="AM24">
        <v>2.87E-2</v>
      </c>
      <c r="AN24">
        <v>8375</v>
      </c>
      <c r="AO24">
        <v>8805</v>
      </c>
    </row>
    <row r="25" spans="1:41" x14ac:dyDescent="0.2">
      <c r="A25" t="s">
        <v>13</v>
      </c>
      <c r="B25">
        <v>2.23E-2</v>
      </c>
      <c r="C25">
        <v>1.26E-2</v>
      </c>
      <c r="D25">
        <v>9003</v>
      </c>
      <c r="E25">
        <v>10768</v>
      </c>
      <c r="G25" t="s">
        <v>13</v>
      </c>
      <c r="H25">
        <v>6.6E-3</v>
      </c>
      <c r="I25">
        <v>1.18E-2</v>
      </c>
      <c r="J25">
        <v>8885</v>
      </c>
      <c r="K25">
        <v>9824</v>
      </c>
      <c r="M25" t="s">
        <v>13</v>
      </c>
      <c r="N25">
        <v>1.0500000000000001E-2</v>
      </c>
      <c r="O25">
        <v>9.8999999999999991E-3</v>
      </c>
      <c r="P25">
        <v>10693</v>
      </c>
      <c r="Q25">
        <v>8724</v>
      </c>
      <c r="S25" t="s">
        <v>13</v>
      </c>
      <c r="T25">
        <v>1.1699999999999999E-2</v>
      </c>
      <c r="U25">
        <v>1.5300000000000001E-2</v>
      </c>
      <c r="V25">
        <v>9071</v>
      </c>
      <c r="W25">
        <v>8617</v>
      </c>
      <c r="Y25" t="s">
        <v>13</v>
      </c>
      <c r="Z25">
        <v>2.18E-2</v>
      </c>
      <c r="AA25">
        <v>2.58E-2</v>
      </c>
      <c r="AB25">
        <v>9814</v>
      </c>
      <c r="AC25">
        <v>10307</v>
      </c>
      <c r="AE25" t="s">
        <v>13</v>
      </c>
      <c r="AF25">
        <v>1.3600000000000001E-2</v>
      </c>
      <c r="AG25">
        <v>1.5900000000000001E-2</v>
      </c>
      <c r="AH25">
        <v>10814</v>
      </c>
      <c r="AI25">
        <v>9860</v>
      </c>
      <c r="AK25" t="s">
        <v>13</v>
      </c>
      <c r="AL25">
        <v>8.8999999999999999E-3</v>
      </c>
      <c r="AM25">
        <v>8.6E-3</v>
      </c>
      <c r="AN25">
        <v>10213</v>
      </c>
      <c r="AO25">
        <v>11432</v>
      </c>
    </row>
    <row r="26" spans="1:41" x14ac:dyDescent="0.2">
      <c r="A26" t="s">
        <v>14</v>
      </c>
      <c r="B26">
        <v>1.8100000000000002E-2</v>
      </c>
      <c r="C26">
        <v>8.1099999999999992E-2</v>
      </c>
      <c r="D26">
        <v>10122</v>
      </c>
      <c r="E26">
        <v>10163</v>
      </c>
      <c r="G26" t="s">
        <v>14</v>
      </c>
      <c r="H26">
        <v>5.3E-3</v>
      </c>
      <c r="I26">
        <v>5.7999999999999996E-3</v>
      </c>
      <c r="J26">
        <v>6269</v>
      </c>
      <c r="K26">
        <v>8788</v>
      </c>
      <c r="M26" t="s">
        <v>14</v>
      </c>
      <c r="N26">
        <v>8.3000000000000001E-3</v>
      </c>
      <c r="O26">
        <v>7.6E-3</v>
      </c>
      <c r="P26">
        <v>8752</v>
      </c>
      <c r="Q26">
        <v>8153</v>
      </c>
      <c r="S26" t="s">
        <v>14</v>
      </c>
      <c r="T26">
        <v>1.2800000000000001E-2</v>
      </c>
      <c r="U26">
        <v>1.1699999999999999E-2</v>
      </c>
      <c r="V26">
        <v>8113</v>
      </c>
      <c r="W26">
        <v>8945</v>
      </c>
      <c r="Y26" t="s">
        <v>14</v>
      </c>
      <c r="Z26">
        <v>2.41E-2</v>
      </c>
      <c r="AA26">
        <v>2.9700000000000001E-2</v>
      </c>
      <c r="AB26">
        <v>10695</v>
      </c>
      <c r="AC26">
        <v>9743</v>
      </c>
      <c r="AE26" t="s">
        <v>14</v>
      </c>
      <c r="AF26">
        <v>1.8700000000000001E-2</v>
      </c>
      <c r="AG26">
        <v>2.3099999999999999E-2</v>
      </c>
      <c r="AH26">
        <v>11201</v>
      </c>
      <c r="AI26">
        <v>11874</v>
      </c>
      <c r="AK26" t="s">
        <v>14</v>
      </c>
      <c r="AL26">
        <v>1.15E-2</v>
      </c>
      <c r="AM26">
        <v>8.8000000000000005E-3</v>
      </c>
      <c r="AN26">
        <v>9128</v>
      </c>
      <c r="AO26">
        <v>7845</v>
      </c>
    </row>
    <row r="27" spans="1:41" x14ac:dyDescent="0.2">
      <c r="A27" t="s">
        <v>15</v>
      </c>
      <c r="B27">
        <v>0.90300000000000002</v>
      </c>
      <c r="C27">
        <v>0.84499999999999997</v>
      </c>
      <c r="D27">
        <v>29515</v>
      </c>
      <c r="E27">
        <v>20781</v>
      </c>
      <c r="G27" t="s">
        <v>15</v>
      </c>
      <c r="H27">
        <v>0.92299999999999993</v>
      </c>
      <c r="I27">
        <v>0.91200000000000003</v>
      </c>
      <c r="J27">
        <v>27814</v>
      </c>
      <c r="K27">
        <v>23289</v>
      </c>
      <c r="M27" t="s">
        <v>15</v>
      </c>
      <c r="N27">
        <v>0.85699999999999998</v>
      </c>
      <c r="O27">
        <v>0.90700000000000003</v>
      </c>
      <c r="P27">
        <v>21832</v>
      </c>
      <c r="Q27">
        <v>25491</v>
      </c>
      <c r="S27" t="s">
        <v>15</v>
      </c>
      <c r="T27">
        <v>0.70799999999999996</v>
      </c>
      <c r="U27">
        <v>0.75099999999999989</v>
      </c>
      <c r="V27">
        <v>11809</v>
      </c>
      <c r="W27">
        <v>12240</v>
      </c>
      <c r="Y27" t="s">
        <v>15</v>
      </c>
      <c r="Z27">
        <v>0.8</v>
      </c>
      <c r="AA27">
        <v>0.81599999999999995</v>
      </c>
      <c r="AB27">
        <v>15997</v>
      </c>
      <c r="AC27">
        <v>16594</v>
      </c>
      <c r="AE27" t="s">
        <v>15</v>
      </c>
      <c r="AF27">
        <v>0.7</v>
      </c>
      <c r="AG27">
        <v>0.77500000000000002</v>
      </c>
      <c r="AH27">
        <v>13587</v>
      </c>
      <c r="AI27">
        <v>14561</v>
      </c>
      <c r="AK27" t="s">
        <v>15</v>
      </c>
      <c r="AL27">
        <v>0.66400000000000003</v>
      </c>
      <c r="AM27">
        <v>0.68099999999999994</v>
      </c>
      <c r="AN27">
        <v>12774</v>
      </c>
      <c r="AO27">
        <v>11503</v>
      </c>
    </row>
    <row r="28" spans="1:41" x14ac:dyDescent="0.2">
      <c r="A28" t="s">
        <v>16</v>
      </c>
      <c r="B28">
        <v>0.90500000000000003</v>
      </c>
      <c r="C28">
        <v>0.82599999999999996</v>
      </c>
      <c r="D28">
        <v>25733</v>
      </c>
      <c r="E28">
        <v>18889</v>
      </c>
      <c r="G28" t="s">
        <v>16</v>
      </c>
      <c r="H28">
        <v>0.84699999999999998</v>
      </c>
      <c r="I28">
        <v>0.86699999999999999</v>
      </c>
      <c r="J28">
        <v>17775</v>
      </c>
      <c r="K28">
        <v>19262</v>
      </c>
      <c r="M28" t="s">
        <v>16</v>
      </c>
      <c r="N28">
        <v>0.88500000000000001</v>
      </c>
      <c r="O28">
        <v>0.9</v>
      </c>
      <c r="P28">
        <v>22018</v>
      </c>
      <c r="Q28">
        <v>23130</v>
      </c>
      <c r="S28" t="s">
        <v>16</v>
      </c>
      <c r="T28">
        <v>0.70400000000000007</v>
      </c>
      <c r="U28">
        <v>0.72599999999999998</v>
      </c>
      <c r="V28">
        <v>11828</v>
      </c>
      <c r="W28">
        <v>12322</v>
      </c>
      <c r="Y28" t="s">
        <v>16</v>
      </c>
      <c r="Z28">
        <v>0.71</v>
      </c>
      <c r="AA28">
        <v>0.77599999999999991</v>
      </c>
      <c r="AB28">
        <v>14140</v>
      </c>
      <c r="AC28">
        <v>15338</v>
      </c>
      <c r="AE28" t="s">
        <v>16</v>
      </c>
      <c r="AF28">
        <v>0.63400000000000001</v>
      </c>
      <c r="AG28">
        <v>0.70299999999999996</v>
      </c>
      <c r="AH28">
        <v>12802</v>
      </c>
      <c r="AI28">
        <v>14096</v>
      </c>
      <c r="AK28" t="s">
        <v>16</v>
      </c>
      <c r="AL28">
        <v>0.59499999999999997</v>
      </c>
      <c r="AM28">
        <v>0.59699999999999998</v>
      </c>
      <c r="AN28">
        <v>11303</v>
      </c>
      <c r="AO28">
        <v>11055</v>
      </c>
    </row>
    <row r="29" spans="1:41" x14ac:dyDescent="0.2">
      <c r="A29" t="s">
        <v>17</v>
      </c>
      <c r="B29">
        <v>0.88800000000000001</v>
      </c>
      <c r="C29">
        <v>0.95299999999999996</v>
      </c>
      <c r="D29">
        <v>25960</v>
      </c>
      <c r="E29">
        <v>56129</v>
      </c>
      <c r="G29" t="s">
        <v>17</v>
      </c>
      <c r="H29">
        <v>0.77900000000000003</v>
      </c>
      <c r="I29">
        <v>0.68799999999999994</v>
      </c>
      <c r="J29">
        <v>17370</v>
      </c>
      <c r="K29">
        <v>15889</v>
      </c>
      <c r="M29" t="s">
        <v>17</v>
      </c>
      <c r="N29">
        <v>0.73299999999999998</v>
      </c>
      <c r="O29">
        <v>0.81700000000000006</v>
      </c>
      <c r="P29">
        <v>17040</v>
      </c>
      <c r="Q29">
        <v>20282</v>
      </c>
      <c r="S29" t="s">
        <v>17</v>
      </c>
      <c r="T29">
        <v>0.49700000000000005</v>
      </c>
      <c r="U29">
        <v>0.54600000000000004</v>
      </c>
      <c r="V29">
        <v>10024</v>
      </c>
      <c r="W29">
        <v>10581</v>
      </c>
      <c r="Y29" t="s">
        <v>17</v>
      </c>
      <c r="Z29">
        <v>0.58899999999999997</v>
      </c>
      <c r="AA29">
        <v>0.62</v>
      </c>
      <c r="AB29">
        <v>12644</v>
      </c>
      <c r="AC29">
        <v>12852</v>
      </c>
      <c r="AE29" t="s">
        <v>17</v>
      </c>
      <c r="AF29">
        <v>0.53299999999999992</v>
      </c>
      <c r="AG29">
        <v>0.60599999999999998</v>
      </c>
      <c r="AH29">
        <v>13350</v>
      </c>
      <c r="AI29">
        <v>14535</v>
      </c>
      <c r="AK29" t="s">
        <v>17</v>
      </c>
      <c r="AL29">
        <v>0.35</v>
      </c>
      <c r="AM29">
        <v>0.39600000000000002</v>
      </c>
      <c r="AN29">
        <v>9609</v>
      </c>
      <c r="AO29">
        <v>10255</v>
      </c>
    </row>
    <row r="30" spans="1:41" x14ac:dyDescent="0.2">
      <c r="A30" t="s">
        <v>18</v>
      </c>
      <c r="B30">
        <v>0.70599999999999996</v>
      </c>
      <c r="C30">
        <v>0.61699999999999999</v>
      </c>
      <c r="D30">
        <v>16116</v>
      </c>
      <c r="E30">
        <v>14392</v>
      </c>
      <c r="G30" t="s">
        <v>18</v>
      </c>
      <c r="H30">
        <v>0.495</v>
      </c>
      <c r="I30">
        <v>0.42899999999999999</v>
      </c>
      <c r="J30">
        <v>11439</v>
      </c>
      <c r="K30">
        <v>10449</v>
      </c>
      <c r="M30" t="s">
        <v>18</v>
      </c>
      <c r="N30">
        <v>0.60799999999999998</v>
      </c>
      <c r="O30">
        <v>0.56200000000000006</v>
      </c>
      <c r="P30">
        <v>13997</v>
      </c>
      <c r="Q30">
        <v>12518</v>
      </c>
      <c r="S30" t="s">
        <v>18</v>
      </c>
      <c r="T30">
        <v>0.38400000000000001</v>
      </c>
      <c r="U30">
        <v>0.40799999999999997</v>
      </c>
      <c r="V30">
        <v>9882</v>
      </c>
      <c r="W30">
        <v>9812</v>
      </c>
      <c r="Y30" t="s">
        <v>18</v>
      </c>
      <c r="Z30">
        <v>0.42899999999999999</v>
      </c>
      <c r="AA30">
        <v>0.498</v>
      </c>
      <c r="AB30">
        <v>11309</v>
      </c>
      <c r="AC30">
        <v>12109</v>
      </c>
      <c r="AE30" t="s">
        <v>18</v>
      </c>
      <c r="AF30">
        <v>0.379</v>
      </c>
      <c r="AG30">
        <v>0.44700000000000001</v>
      </c>
      <c r="AH30">
        <v>11672</v>
      </c>
      <c r="AI30">
        <v>12519</v>
      </c>
      <c r="AK30" t="s">
        <v>18</v>
      </c>
      <c r="AL30">
        <v>0.36099999999999999</v>
      </c>
      <c r="AM30">
        <v>0.32200000000000001</v>
      </c>
      <c r="AN30">
        <v>10045</v>
      </c>
      <c r="AO30">
        <v>9978</v>
      </c>
    </row>
    <row r="31" spans="1:41" x14ac:dyDescent="0.2">
      <c r="A31" t="s">
        <v>19</v>
      </c>
      <c r="B31">
        <v>0.65700000000000003</v>
      </c>
      <c r="C31">
        <v>0.60699999999999998</v>
      </c>
      <c r="D31">
        <v>16138</v>
      </c>
      <c r="E31">
        <v>15330</v>
      </c>
      <c r="G31" t="s">
        <v>19</v>
      </c>
      <c r="H31">
        <v>0.57299999999999995</v>
      </c>
      <c r="I31">
        <v>0.64500000000000002</v>
      </c>
      <c r="J31">
        <v>13956</v>
      </c>
      <c r="K31">
        <v>14939</v>
      </c>
      <c r="M31" t="s">
        <v>19</v>
      </c>
      <c r="N31">
        <v>0.53799999999999992</v>
      </c>
      <c r="O31">
        <v>0.60099999999999998</v>
      </c>
      <c r="P31">
        <v>13113</v>
      </c>
      <c r="Q31">
        <v>13665</v>
      </c>
      <c r="S31" t="s">
        <v>19</v>
      </c>
      <c r="T31">
        <v>0.26600000000000001</v>
      </c>
      <c r="U31">
        <v>0.245</v>
      </c>
      <c r="V31">
        <v>8527</v>
      </c>
      <c r="W31">
        <v>8810</v>
      </c>
      <c r="Y31" t="s">
        <v>19</v>
      </c>
      <c r="Z31">
        <v>0.26800000000000002</v>
      </c>
      <c r="AA31">
        <v>0.251</v>
      </c>
      <c r="AB31">
        <v>9597</v>
      </c>
      <c r="AC31">
        <v>9303</v>
      </c>
      <c r="AE31" t="s">
        <v>19</v>
      </c>
      <c r="AF31">
        <v>0.188</v>
      </c>
      <c r="AG31">
        <v>0.22600000000000001</v>
      </c>
      <c r="AH31">
        <v>9527</v>
      </c>
      <c r="AI31">
        <v>9823</v>
      </c>
      <c r="AK31" t="s">
        <v>19</v>
      </c>
      <c r="AL31">
        <v>0.17800000000000002</v>
      </c>
      <c r="AM31">
        <v>0.24</v>
      </c>
      <c r="AN31">
        <v>9114</v>
      </c>
      <c r="AO31">
        <v>9114</v>
      </c>
    </row>
    <row r="32" spans="1:41" x14ac:dyDescent="0.2">
      <c r="A32" t="s">
        <v>20</v>
      </c>
      <c r="B32">
        <v>0.159</v>
      </c>
      <c r="C32">
        <v>8.5500000000000007E-2</v>
      </c>
      <c r="D32">
        <v>10556</v>
      </c>
      <c r="E32">
        <v>9689</v>
      </c>
      <c r="G32" t="s">
        <v>20</v>
      </c>
      <c r="H32">
        <v>0.124</v>
      </c>
      <c r="I32">
        <v>0.107</v>
      </c>
      <c r="J32">
        <v>9732</v>
      </c>
      <c r="K32">
        <v>9695</v>
      </c>
      <c r="M32" t="s">
        <v>20</v>
      </c>
      <c r="N32">
        <v>7.1800000000000003E-2</v>
      </c>
      <c r="O32">
        <v>6.6199999999999995E-2</v>
      </c>
      <c r="P32">
        <v>9531</v>
      </c>
      <c r="Q32">
        <v>9007</v>
      </c>
      <c r="S32" t="s">
        <v>20</v>
      </c>
      <c r="T32">
        <v>0.14000000000000001</v>
      </c>
      <c r="U32">
        <v>0.22399999999999998</v>
      </c>
      <c r="V32">
        <v>7917</v>
      </c>
      <c r="W32">
        <v>7975</v>
      </c>
      <c r="Y32" t="s">
        <v>20</v>
      </c>
      <c r="Z32">
        <v>5.5599999999999997E-2</v>
      </c>
      <c r="AA32">
        <v>5.4299999999999994E-2</v>
      </c>
      <c r="AB32">
        <v>8857</v>
      </c>
      <c r="AC32">
        <v>9075</v>
      </c>
      <c r="AE32" t="s">
        <v>20</v>
      </c>
      <c r="AF32">
        <v>7.6999999999999999E-2</v>
      </c>
      <c r="AG32">
        <v>8.0299999999999996E-2</v>
      </c>
      <c r="AH32">
        <v>9276</v>
      </c>
      <c r="AI32">
        <v>9539</v>
      </c>
      <c r="AK32" t="s">
        <v>20</v>
      </c>
      <c r="AL32">
        <v>3.5499999999999997E-2</v>
      </c>
      <c r="AM32">
        <v>0.03</v>
      </c>
      <c r="AN32">
        <v>8256</v>
      </c>
      <c r="AO32">
        <v>8151</v>
      </c>
    </row>
    <row r="33" spans="1:41" x14ac:dyDescent="0.2">
      <c r="A33" t="s">
        <v>21</v>
      </c>
      <c r="B33">
        <v>1.8100000000000002E-2</v>
      </c>
      <c r="C33">
        <v>1.6200000000000003E-2</v>
      </c>
      <c r="D33">
        <v>11240</v>
      </c>
      <c r="E33">
        <v>8536</v>
      </c>
      <c r="G33" t="s">
        <v>21</v>
      </c>
      <c r="H33">
        <v>6.7000000000000002E-3</v>
      </c>
      <c r="I33">
        <v>7.1999999999999998E-3</v>
      </c>
      <c r="J33">
        <v>11889</v>
      </c>
      <c r="K33">
        <v>9319</v>
      </c>
      <c r="M33" t="s">
        <v>21</v>
      </c>
      <c r="N33">
        <v>9.3999999999999986E-3</v>
      </c>
      <c r="O33">
        <v>9.7000000000000003E-3</v>
      </c>
      <c r="P33">
        <v>8747</v>
      </c>
      <c r="Q33">
        <v>8980</v>
      </c>
      <c r="S33" t="s">
        <v>21</v>
      </c>
      <c r="T33">
        <v>0.16699999999999998</v>
      </c>
      <c r="U33">
        <v>2.0400000000000001E-2</v>
      </c>
      <c r="V33">
        <v>7799</v>
      </c>
      <c r="W33">
        <v>7920</v>
      </c>
      <c r="Y33" t="s">
        <v>21</v>
      </c>
      <c r="Z33">
        <v>2.3700000000000002E-2</v>
      </c>
      <c r="AA33">
        <v>2.3399999999999997E-2</v>
      </c>
      <c r="AB33">
        <v>8915</v>
      </c>
      <c r="AC33">
        <v>9754</v>
      </c>
      <c r="AE33" t="s">
        <v>21</v>
      </c>
      <c r="AF33">
        <v>7.7300000000000008E-2</v>
      </c>
      <c r="AG33">
        <v>0.126</v>
      </c>
      <c r="AH33">
        <v>9230</v>
      </c>
      <c r="AI33">
        <v>9866</v>
      </c>
      <c r="AK33" t="s">
        <v>21</v>
      </c>
      <c r="AL33">
        <v>1.15E-2</v>
      </c>
      <c r="AM33">
        <v>1.1599999999999999E-2</v>
      </c>
      <c r="AN33">
        <v>8188</v>
      </c>
      <c r="AO33">
        <v>9744</v>
      </c>
    </row>
    <row r="34" spans="1:41" x14ac:dyDescent="0.2">
      <c r="A34" t="s">
        <v>22</v>
      </c>
      <c r="B34">
        <v>0.50600000000000001</v>
      </c>
      <c r="C34">
        <v>0.56899999999999995</v>
      </c>
      <c r="D34">
        <v>13610</v>
      </c>
      <c r="E34">
        <v>11652</v>
      </c>
      <c r="G34" t="s">
        <v>22</v>
      </c>
      <c r="H34">
        <v>0.33500000000000002</v>
      </c>
      <c r="I34">
        <v>0.30499999999999999</v>
      </c>
      <c r="J34">
        <v>11237</v>
      </c>
      <c r="K34">
        <v>11483</v>
      </c>
      <c r="M34" t="s">
        <v>22</v>
      </c>
      <c r="N34">
        <v>0.2</v>
      </c>
      <c r="O34">
        <v>0.23100000000000001</v>
      </c>
      <c r="P34">
        <v>9888</v>
      </c>
      <c r="Q34">
        <v>9302</v>
      </c>
      <c r="S34" t="s">
        <v>22</v>
      </c>
      <c r="T34">
        <v>0.30599999999999999</v>
      </c>
      <c r="U34">
        <v>0.33600000000000002</v>
      </c>
      <c r="V34">
        <v>9682</v>
      </c>
      <c r="W34">
        <v>9913</v>
      </c>
      <c r="Y34" t="s">
        <v>22</v>
      </c>
      <c r="Z34">
        <v>0.29199999999999998</v>
      </c>
      <c r="AA34">
        <v>0.33799999999999997</v>
      </c>
      <c r="AB34">
        <v>10994</v>
      </c>
      <c r="AC34">
        <v>11667</v>
      </c>
      <c r="AE34" t="s">
        <v>22</v>
      </c>
      <c r="AF34">
        <v>0.26800000000000002</v>
      </c>
      <c r="AG34">
        <v>0.27600000000000002</v>
      </c>
      <c r="AH34">
        <v>11385</v>
      </c>
      <c r="AI34">
        <v>11420</v>
      </c>
      <c r="AK34" t="s">
        <v>22</v>
      </c>
      <c r="AL34">
        <v>0.13500000000000001</v>
      </c>
      <c r="AM34">
        <v>0.26899999999999996</v>
      </c>
      <c r="AN34">
        <v>9122</v>
      </c>
      <c r="AO34">
        <v>10343</v>
      </c>
    </row>
    <row r="35" spans="1:41" x14ac:dyDescent="0.2">
      <c r="A35" t="s">
        <v>23</v>
      </c>
      <c r="B35">
        <v>0.90400000000000003</v>
      </c>
      <c r="C35">
        <v>0.94700000000000006</v>
      </c>
      <c r="D35">
        <v>43061</v>
      </c>
      <c r="E35">
        <v>35282</v>
      </c>
      <c r="G35" t="s">
        <v>23</v>
      </c>
      <c r="H35">
        <v>0.93200000000000005</v>
      </c>
      <c r="I35">
        <v>0.97</v>
      </c>
      <c r="J35">
        <v>63930</v>
      </c>
      <c r="K35">
        <v>53204</v>
      </c>
      <c r="M35" t="s">
        <v>23</v>
      </c>
      <c r="N35">
        <v>0.877</v>
      </c>
      <c r="O35">
        <v>0.92</v>
      </c>
      <c r="P35">
        <v>26594</v>
      </c>
      <c r="Q35">
        <v>34189</v>
      </c>
      <c r="S35" t="s">
        <v>23</v>
      </c>
      <c r="T35">
        <v>0.69</v>
      </c>
      <c r="U35">
        <v>0.81799999999999995</v>
      </c>
      <c r="V35">
        <v>10661</v>
      </c>
      <c r="W35">
        <v>14170</v>
      </c>
      <c r="Y35" t="s">
        <v>23</v>
      </c>
      <c r="Z35">
        <v>0.93099999999999994</v>
      </c>
      <c r="AA35">
        <v>0.92400000000000004</v>
      </c>
      <c r="AB35">
        <v>27682</v>
      </c>
      <c r="AC35">
        <v>24933</v>
      </c>
      <c r="AE35" t="s">
        <v>23</v>
      </c>
      <c r="AF35">
        <v>0.92099999999999993</v>
      </c>
      <c r="AG35">
        <v>0.89700000000000002</v>
      </c>
      <c r="AH35">
        <v>23130</v>
      </c>
      <c r="AI35">
        <v>22182</v>
      </c>
      <c r="AK35" t="s">
        <v>23</v>
      </c>
      <c r="AL35">
        <v>0.89200000000000002</v>
      </c>
      <c r="AM35">
        <v>0.88800000000000001</v>
      </c>
      <c r="AN35">
        <v>21081</v>
      </c>
      <c r="AO35">
        <v>19154</v>
      </c>
    </row>
    <row r="36" spans="1:41" x14ac:dyDescent="0.2">
      <c r="A36" t="s">
        <v>24</v>
      </c>
      <c r="B36">
        <v>0.84200000000000008</v>
      </c>
      <c r="C36">
        <v>0.90799999999999992</v>
      </c>
      <c r="D36">
        <v>28197</v>
      </c>
      <c r="E36">
        <v>23706</v>
      </c>
      <c r="G36" t="s">
        <v>24</v>
      </c>
      <c r="H36">
        <v>0.96400000000000008</v>
      </c>
      <c r="I36">
        <v>0.96099999999999997</v>
      </c>
      <c r="J36">
        <v>52704</v>
      </c>
      <c r="K36">
        <v>42929</v>
      </c>
      <c r="M36" t="s">
        <v>24</v>
      </c>
      <c r="N36">
        <v>0.94900000000000007</v>
      </c>
      <c r="O36">
        <v>0.95499999999999996</v>
      </c>
      <c r="P36">
        <v>33799</v>
      </c>
      <c r="Q36">
        <v>38349</v>
      </c>
      <c r="S36" t="s">
        <v>24</v>
      </c>
      <c r="T36">
        <v>0.77599999999999991</v>
      </c>
      <c r="U36">
        <v>0.871</v>
      </c>
      <c r="V36">
        <v>13814</v>
      </c>
      <c r="W36">
        <v>15489</v>
      </c>
      <c r="Y36" t="s">
        <v>24</v>
      </c>
      <c r="Z36">
        <v>0.89300000000000002</v>
      </c>
      <c r="AA36">
        <v>0.88300000000000001</v>
      </c>
      <c r="AB36">
        <v>21278</v>
      </c>
      <c r="AC36">
        <v>20686</v>
      </c>
      <c r="AE36" t="s">
        <v>24</v>
      </c>
      <c r="AF36">
        <v>0.86099999999999999</v>
      </c>
      <c r="AG36">
        <v>0.85400000000000009</v>
      </c>
      <c r="AH36">
        <v>19463</v>
      </c>
      <c r="AI36">
        <v>20015</v>
      </c>
      <c r="AK36" t="s">
        <v>24</v>
      </c>
      <c r="AL36">
        <v>0.82099999999999995</v>
      </c>
      <c r="AM36">
        <v>0.78400000000000003</v>
      </c>
      <c r="AN36">
        <v>16239</v>
      </c>
      <c r="AO36">
        <v>14438</v>
      </c>
    </row>
    <row r="37" spans="1:41" x14ac:dyDescent="0.2">
      <c r="A37" t="s">
        <v>25</v>
      </c>
      <c r="B37">
        <v>0.94099999999999995</v>
      </c>
      <c r="C37">
        <v>0.94499999999999995</v>
      </c>
      <c r="D37">
        <v>36392</v>
      </c>
      <c r="E37">
        <v>39550</v>
      </c>
      <c r="G37" t="s">
        <v>25</v>
      </c>
      <c r="H37">
        <v>0.88700000000000001</v>
      </c>
      <c r="I37">
        <v>0.83499999999999996</v>
      </c>
      <c r="J37">
        <v>24874</v>
      </c>
      <c r="K37">
        <v>20314</v>
      </c>
      <c r="M37" t="s">
        <v>25</v>
      </c>
      <c r="N37">
        <v>0.875</v>
      </c>
      <c r="O37">
        <v>0.86</v>
      </c>
      <c r="P37">
        <v>23331</v>
      </c>
      <c r="Q37">
        <v>22007</v>
      </c>
      <c r="S37" t="s">
        <v>25</v>
      </c>
      <c r="T37">
        <v>0.60499999999999998</v>
      </c>
      <c r="U37">
        <v>0.624</v>
      </c>
      <c r="V37">
        <v>11187</v>
      </c>
      <c r="W37">
        <v>11300</v>
      </c>
      <c r="Y37" t="s">
        <v>25</v>
      </c>
      <c r="Z37">
        <v>0.77200000000000002</v>
      </c>
      <c r="AA37">
        <v>0.753</v>
      </c>
      <c r="AB37">
        <v>16413</v>
      </c>
      <c r="AC37">
        <v>16601</v>
      </c>
      <c r="AE37" t="s">
        <v>25</v>
      </c>
      <c r="AF37">
        <v>0.67099999999999993</v>
      </c>
      <c r="AG37">
        <v>0.67900000000000005</v>
      </c>
      <c r="AH37">
        <v>15416</v>
      </c>
      <c r="AI37">
        <v>15989</v>
      </c>
      <c r="AK37" t="s">
        <v>25</v>
      </c>
      <c r="AL37">
        <v>0.53500000000000003</v>
      </c>
      <c r="AM37">
        <v>0.44799999999999995</v>
      </c>
      <c r="AN37">
        <v>11204</v>
      </c>
      <c r="AO37">
        <v>10164</v>
      </c>
    </row>
    <row r="38" spans="1:41" x14ac:dyDescent="0.2">
      <c r="A38" t="s">
        <v>26</v>
      </c>
      <c r="B38">
        <v>0.70700000000000007</v>
      </c>
      <c r="C38">
        <v>0.67099999999999993</v>
      </c>
      <c r="D38">
        <v>15224</v>
      </c>
      <c r="E38">
        <v>13362</v>
      </c>
      <c r="G38" t="s">
        <v>26</v>
      </c>
      <c r="H38">
        <v>0.86099999999999999</v>
      </c>
      <c r="I38">
        <v>0.86199999999999999</v>
      </c>
      <c r="J38">
        <v>21579</v>
      </c>
      <c r="K38">
        <v>21543</v>
      </c>
      <c r="M38" t="s">
        <v>26</v>
      </c>
      <c r="N38">
        <v>0.76700000000000002</v>
      </c>
      <c r="O38">
        <v>0.83200000000000007</v>
      </c>
      <c r="P38">
        <v>15590</v>
      </c>
      <c r="Q38">
        <v>19140</v>
      </c>
      <c r="S38" t="s">
        <v>26</v>
      </c>
      <c r="T38">
        <v>0.70799999999999996</v>
      </c>
      <c r="U38">
        <v>0.71299999999999997</v>
      </c>
      <c r="V38">
        <v>11646</v>
      </c>
      <c r="W38">
        <v>12752</v>
      </c>
      <c r="Y38" t="s">
        <v>26</v>
      </c>
      <c r="Z38">
        <v>0.74099999999999999</v>
      </c>
      <c r="AA38">
        <v>0.80700000000000005</v>
      </c>
      <c r="AB38">
        <v>15280</v>
      </c>
      <c r="AC38">
        <v>17323</v>
      </c>
      <c r="AE38" t="s">
        <v>26</v>
      </c>
      <c r="AF38">
        <v>0.60099999999999998</v>
      </c>
      <c r="AG38">
        <v>0.68299999999999994</v>
      </c>
      <c r="AH38">
        <v>13882</v>
      </c>
      <c r="AI38">
        <v>14864</v>
      </c>
      <c r="AK38" t="s">
        <v>26</v>
      </c>
      <c r="AL38">
        <v>0.52400000000000002</v>
      </c>
      <c r="AM38">
        <v>0.60699999999999998</v>
      </c>
      <c r="AN38">
        <v>10885</v>
      </c>
      <c r="AO38">
        <v>12194</v>
      </c>
    </row>
    <row r="39" spans="1:41" x14ac:dyDescent="0.2">
      <c r="A39" t="s">
        <v>27</v>
      </c>
      <c r="B39">
        <v>0.84299999999999997</v>
      </c>
      <c r="C39">
        <v>0.91799999999999993</v>
      </c>
      <c r="D39">
        <v>190462</v>
      </c>
      <c r="E39">
        <v>162138</v>
      </c>
      <c r="G39" t="s">
        <v>27</v>
      </c>
      <c r="H39">
        <v>0.72599999999999998</v>
      </c>
      <c r="I39">
        <v>0.754</v>
      </c>
      <c r="J39">
        <v>200051</v>
      </c>
      <c r="K39">
        <v>201902</v>
      </c>
      <c r="M39" t="s">
        <v>27</v>
      </c>
      <c r="N39">
        <v>0.94099999999999995</v>
      </c>
      <c r="O39">
        <v>0.97900000000000009</v>
      </c>
      <c r="P39">
        <v>153025</v>
      </c>
      <c r="Q39">
        <v>165814</v>
      </c>
      <c r="S39" t="s">
        <v>27</v>
      </c>
      <c r="T39">
        <v>0.95900000000000007</v>
      </c>
      <c r="U39">
        <v>0.97199999999999998</v>
      </c>
      <c r="V39">
        <v>46841</v>
      </c>
      <c r="W39">
        <v>52496</v>
      </c>
      <c r="Y39" t="s">
        <v>27</v>
      </c>
      <c r="Z39">
        <v>0.96099999999999997</v>
      </c>
      <c r="AA39">
        <v>0.96599999999999997</v>
      </c>
      <c r="AB39">
        <v>93385</v>
      </c>
      <c r="AC39">
        <v>81709</v>
      </c>
      <c r="AE39" t="s">
        <v>27</v>
      </c>
      <c r="AF39">
        <v>0.95099999999999996</v>
      </c>
      <c r="AG39">
        <v>0.97299999999999998</v>
      </c>
      <c r="AH39">
        <v>60705</v>
      </c>
      <c r="AI39">
        <v>62512</v>
      </c>
      <c r="AK39" t="s">
        <v>27</v>
      </c>
      <c r="AL39">
        <v>0.92299999999999993</v>
      </c>
      <c r="AM39">
        <v>0.96799999999999997</v>
      </c>
      <c r="AN39">
        <v>36124</v>
      </c>
      <c r="AO39">
        <v>61038</v>
      </c>
    </row>
    <row r="40" spans="1:41" x14ac:dyDescent="0.2">
      <c r="A40" t="s">
        <v>28</v>
      </c>
      <c r="B40">
        <v>0.91099999999999992</v>
      </c>
      <c r="C40">
        <v>0.93099999999999994</v>
      </c>
      <c r="D40">
        <v>163963</v>
      </c>
      <c r="E40">
        <v>105403</v>
      </c>
      <c r="G40" t="s">
        <v>28</v>
      </c>
      <c r="H40">
        <v>0.69299999999999995</v>
      </c>
      <c r="I40">
        <v>0.71200000000000008</v>
      </c>
      <c r="J40">
        <v>191747</v>
      </c>
      <c r="K40">
        <v>207371</v>
      </c>
      <c r="M40" t="s">
        <v>28</v>
      </c>
      <c r="N40">
        <v>0.95499999999999996</v>
      </c>
      <c r="O40">
        <v>0.96499999999999997</v>
      </c>
      <c r="P40">
        <v>138307</v>
      </c>
      <c r="Q40">
        <v>153457</v>
      </c>
      <c r="S40" t="s">
        <v>28</v>
      </c>
      <c r="T40">
        <v>0.97799999999999998</v>
      </c>
      <c r="U40">
        <v>0.97699999999999998</v>
      </c>
      <c r="V40">
        <v>62268</v>
      </c>
      <c r="W40">
        <v>56820</v>
      </c>
      <c r="Y40" t="s">
        <v>28</v>
      </c>
      <c r="Z40">
        <v>0.97599999999999998</v>
      </c>
      <c r="AA40">
        <v>0.96900000000000008</v>
      </c>
      <c r="AB40">
        <v>84598</v>
      </c>
      <c r="AC40">
        <v>78553</v>
      </c>
      <c r="AE40" t="s">
        <v>28</v>
      </c>
      <c r="AF40">
        <v>0.95700000000000007</v>
      </c>
      <c r="AG40">
        <v>0.96200000000000008</v>
      </c>
      <c r="AH40">
        <v>62890</v>
      </c>
      <c r="AI40">
        <v>65094</v>
      </c>
      <c r="AK40" t="s">
        <v>28</v>
      </c>
      <c r="AL40">
        <v>0.96599999999999997</v>
      </c>
      <c r="AM40">
        <v>0.96200000000000008</v>
      </c>
      <c r="AN40">
        <v>51788</v>
      </c>
      <c r="AO40">
        <v>60602</v>
      </c>
    </row>
    <row r="41" spans="1:41" x14ac:dyDescent="0.2">
      <c r="A41" t="s">
        <v>29</v>
      </c>
      <c r="B41">
        <v>0.95700000000000007</v>
      </c>
      <c r="C41">
        <v>0.92</v>
      </c>
      <c r="D41">
        <v>44689</v>
      </c>
      <c r="E41">
        <v>28557</v>
      </c>
      <c r="G41" t="s">
        <v>29</v>
      </c>
      <c r="H41">
        <v>0.87</v>
      </c>
      <c r="I41">
        <v>0.85400000000000009</v>
      </c>
      <c r="J41">
        <v>38717</v>
      </c>
      <c r="K41">
        <v>29846</v>
      </c>
      <c r="M41" t="s">
        <v>29</v>
      </c>
      <c r="N41">
        <v>0.95299999999999996</v>
      </c>
      <c r="O41">
        <v>0.95299999999999996</v>
      </c>
      <c r="P41">
        <v>32577</v>
      </c>
      <c r="Q41">
        <v>32161</v>
      </c>
      <c r="S41" t="s">
        <v>29</v>
      </c>
      <c r="T41">
        <v>0.90900000000000003</v>
      </c>
      <c r="U41">
        <v>0.89300000000000002</v>
      </c>
      <c r="V41">
        <v>17804</v>
      </c>
      <c r="W41">
        <v>18475</v>
      </c>
      <c r="Y41" t="s">
        <v>29</v>
      </c>
      <c r="Z41">
        <v>0.92200000000000004</v>
      </c>
      <c r="AA41">
        <v>0.93400000000000005</v>
      </c>
      <c r="AB41">
        <v>24088</v>
      </c>
      <c r="AC41">
        <v>26213</v>
      </c>
      <c r="AE41" t="s">
        <v>29</v>
      </c>
      <c r="AF41">
        <v>0.77</v>
      </c>
      <c r="AG41">
        <v>0.85799999999999998</v>
      </c>
      <c r="AH41">
        <v>16826</v>
      </c>
      <c r="AI41">
        <v>21230</v>
      </c>
      <c r="AK41" t="s">
        <v>29</v>
      </c>
      <c r="AL41">
        <v>0.80400000000000005</v>
      </c>
      <c r="AM41">
        <v>0.7390000000000001</v>
      </c>
      <c r="AN41">
        <v>16087</v>
      </c>
      <c r="AO41">
        <v>15437</v>
      </c>
    </row>
    <row r="42" spans="1:41" x14ac:dyDescent="0.2">
      <c r="A42" t="s">
        <v>30</v>
      </c>
      <c r="B42">
        <v>0.94099999999999995</v>
      </c>
      <c r="C42">
        <v>0.94200000000000006</v>
      </c>
      <c r="D42">
        <v>119736</v>
      </c>
      <c r="E42">
        <v>44549</v>
      </c>
      <c r="G42" t="s">
        <v>30</v>
      </c>
      <c r="H42">
        <v>0.85299999999999998</v>
      </c>
      <c r="I42">
        <v>0.83400000000000007</v>
      </c>
      <c r="J42">
        <v>38875</v>
      </c>
      <c r="K42">
        <v>23850</v>
      </c>
      <c r="M42" t="s">
        <v>30</v>
      </c>
      <c r="N42">
        <v>0.94799999999999995</v>
      </c>
      <c r="O42">
        <v>0.96900000000000008</v>
      </c>
      <c r="P42">
        <v>84584</v>
      </c>
      <c r="Q42">
        <v>69688</v>
      </c>
      <c r="S42" t="s">
        <v>30</v>
      </c>
      <c r="T42">
        <v>0.90400000000000003</v>
      </c>
      <c r="U42">
        <v>0.90400000000000003</v>
      </c>
      <c r="V42">
        <v>26260</v>
      </c>
      <c r="W42">
        <v>27576</v>
      </c>
      <c r="Y42" t="s">
        <v>30</v>
      </c>
      <c r="Z42">
        <v>0.93900000000000006</v>
      </c>
      <c r="AA42">
        <v>0.94700000000000006</v>
      </c>
      <c r="AB42">
        <v>40286</v>
      </c>
      <c r="AC42">
        <v>42884</v>
      </c>
      <c r="AE42" t="s">
        <v>30</v>
      </c>
      <c r="AF42">
        <v>0.94200000000000006</v>
      </c>
      <c r="AG42">
        <v>0.92</v>
      </c>
      <c r="AH42">
        <v>41746</v>
      </c>
      <c r="AI42">
        <v>35571</v>
      </c>
      <c r="AK42" t="s">
        <v>30</v>
      </c>
      <c r="AL42">
        <v>0.8859999999999999</v>
      </c>
      <c r="AM42">
        <v>0.90799999999999992</v>
      </c>
      <c r="AN42">
        <v>27010</v>
      </c>
      <c r="AO42">
        <v>29377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Stephanie</dc:creator>
  <cp:lastModifiedBy>Gibson, Travis E.</cp:lastModifiedBy>
  <dcterms:created xsi:type="dcterms:W3CDTF">2025-12-24T00:33:57Z</dcterms:created>
  <dcterms:modified xsi:type="dcterms:W3CDTF">2026-02-06T19:45:41Z</dcterms:modified>
</cp:coreProperties>
</file>