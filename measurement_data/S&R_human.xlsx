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teg14/Library/CloudStorage/Dropbox/Walt:Gibson lab shared folder/final_paper/preliminary_analysis_simoa_rtqpcr_spike/data/spike_recover/"/>
    </mc:Choice>
  </mc:AlternateContent>
  <xr:revisionPtr revIDLastSave="0" documentId="13_ncr:1_{8FBCE57B-7FF3-2045-8217-042E5809FBA4}" xr6:coauthVersionLast="47" xr6:coauthVersionMax="47" xr10:uidLastSave="{00000000-0000-0000-0000-000000000000}"/>
  <bookViews>
    <workbookView xWindow="4240" yWindow="680" windowWidth="25160" windowHeight="17140" xr2:uid="{8FC85804-D25A-E547-8EE7-278B2A78299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1" l="1"/>
  <c r="F102" i="1" s="1"/>
  <c r="D102" i="1"/>
  <c r="C102" i="1" s="1"/>
  <c r="E101" i="1"/>
  <c r="F101" i="1" s="1"/>
  <c r="G101" i="1" s="1"/>
  <c r="D101" i="1"/>
  <c r="C101" i="1"/>
  <c r="E100" i="1"/>
  <c r="F100" i="1" s="1"/>
  <c r="D100" i="1"/>
  <c r="C100" i="1" s="1"/>
  <c r="E99" i="1"/>
  <c r="F99" i="1" s="1"/>
  <c r="G99" i="1" s="1"/>
  <c r="D99" i="1"/>
  <c r="C99" i="1"/>
  <c r="E98" i="1"/>
  <c r="F98" i="1" s="1"/>
  <c r="D98" i="1"/>
  <c r="C98" i="1" s="1"/>
  <c r="E97" i="1"/>
  <c r="F97" i="1" s="1"/>
  <c r="G97" i="1" s="1"/>
  <c r="D97" i="1"/>
  <c r="C97" i="1"/>
  <c r="B92" i="1"/>
  <c r="B93" i="1" s="1"/>
  <c r="B91" i="1"/>
  <c r="B90" i="1"/>
  <c r="B89" i="1"/>
  <c r="B88" i="1"/>
  <c r="B87" i="1"/>
  <c r="C88" i="1"/>
  <c r="C89" i="1"/>
  <c r="C90" i="1"/>
  <c r="C91" i="1"/>
  <c r="C92" i="1"/>
  <c r="C93" i="1"/>
  <c r="C94" i="1"/>
  <c r="C87" i="1"/>
  <c r="E94" i="1"/>
  <c r="F94" i="1" s="1"/>
  <c r="G94" i="1" s="1"/>
  <c r="D94" i="1"/>
  <c r="E93" i="1"/>
  <c r="F93" i="1" s="1"/>
  <c r="D93" i="1"/>
  <c r="E92" i="1"/>
  <c r="F92" i="1" s="1"/>
  <c r="D92" i="1"/>
  <c r="E91" i="1"/>
  <c r="F91" i="1" s="1"/>
  <c r="D91" i="1"/>
  <c r="E90" i="1"/>
  <c r="F90" i="1" s="1"/>
  <c r="D90" i="1"/>
  <c r="E89" i="1"/>
  <c r="F89" i="1" s="1"/>
  <c r="D89" i="1"/>
  <c r="E88" i="1"/>
  <c r="F88" i="1" s="1"/>
  <c r="G88" i="1" s="1"/>
  <c r="D88" i="1"/>
  <c r="E87" i="1"/>
  <c r="F87" i="1" s="1"/>
  <c r="G87" i="1" s="1"/>
  <c r="D87" i="1"/>
  <c r="D78" i="1"/>
  <c r="C78" i="1" s="1"/>
  <c r="F79" i="1"/>
  <c r="F80" i="1"/>
  <c r="F81" i="1"/>
  <c r="F82" i="1"/>
  <c r="F83" i="1"/>
  <c r="F78" i="1"/>
  <c r="L75" i="1"/>
  <c r="M75" i="1" s="1"/>
  <c r="K75" i="1"/>
  <c r="J75" i="1" s="1"/>
  <c r="L74" i="1"/>
  <c r="M74" i="1" s="1"/>
  <c r="K74" i="1"/>
  <c r="J74" i="1" s="1"/>
  <c r="L73" i="1"/>
  <c r="M73" i="1" s="1"/>
  <c r="N73" i="1" s="1"/>
  <c r="K73" i="1"/>
  <c r="J73" i="1"/>
  <c r="L72" i="1"/>
  <c r="M72" i="1" s="1"/>
  <c r="K72" i="1"/>
  <c r="J72" i="1" s="1"/>
  <c r="L71" i="1"/>
  <c r="M71" i="1" s="1"/>
  <c r="N71" i="1" s="1"/>
  <c r="K71" i="1"/>
  <c r="J71" i="1"/>
  <c r="L70" i="1"/>
  <c r="M70" i="1" s="1"/>
  <c r="K70" i="1"/>
  <c r="J70" i="1" s="1"/>
  <c r="L69" i="1"/>
  <c r="M69" i="1" s="1"/>
  <c r="N69" i="1" s="1"/>
  <c r="K69" i="1"/>
  <c r="J69" i="1"/>
  <c r="L68" i="1"/>
  <c r="M68" i="1" s="1"/>
  <c r="K68" i="1"/>
  <c r="J68" i="1" s="1"/>
  <c r="B74" i="1"/>
  <c r="D74" i="1"/>
  <c r="C74" i="1" s="1"/>
  <c r="E74" i="1"/>
  <c r="F74" i="1" s="1"/>
  <c r="G74" i="1" s="1"/>
  <c r="D75" i="1"/>
  <c r="C75" i="1" s="1"/>
  <c r="E75" i="1"/>
  <c r="F75" i="1" s="1"/>
  <c r="G75" i="1" s="1"/>
  <c r="F73" i="1"/>
  <c r="F72" i="1"/>
  <c r="E78" i="1"/>
  <c r="D79" i="1"/>
  <c r="C79" i="1" s="1"/>
  <c r="E79" i="1"/>
  <c r="D80" i="1"/>
  <c r="C80" i="1" s="1"/>
  <c r="G80" i="1" s="1"/>
  <c r="E80" i="1"/>
  <c r="D81" i="1"/>
  <c r="C81" i="1" s="1"/>
  <c r="G81" i="1" s="1"/>
  <c r="E81" i="1"/>
  <c r="D82" i="1"/>
  <c r="C82" i="1" s="1"/>
  <c r="E82" i="1"/>
  <c r="D83" i="1"/>
  <c r="C83" i="1" s="1"/>
  <c r="E83" i="1"/>
  <c r="F69" i="1"/>
  <c r="F70" i="1"/>
  <c r="F71" i="1"/>
  <c r="F68" i="1"/>
  <c r="I73" i="1"/>
  <c r="I72" i="1"/>
  <c r="I71" i="1"/>
  <c r="I70" i="1"/>
  <c r="I69" i="1"/>
  <c r="I68" i="1"/>
  <c r="D68" i="1"/>
  <c r="E69" i="1"/>
  <c r="E70" i="1"/>
  <c r="E71" i="1"/>
  <c r="E72" i="1"/>
  <c r="G70" i="1" s="1"/>
  <c r="E73" i="1"/>
  <c r="E68" i="1"/>
  <c r="C72" i="1"/>
  <c r="A68" i="1"/>
  <c r="A69" i="1"/>
  <c r="A70" i="1"/>
  <c r="A71" i="1"/>
  <c r="A72" i="1"/>
  <c r="A73" i="1"/>
  <c r="C69" i="1"/>
  <c r="C70" i="1"/>
  <c r="C71" i="1"/>
  <c r="C73" i="1"/>
  <c r="C68" i="1"/>
  <c r="D69" i="1"/>
  <c r="D70" i="1"/>
  <c r="D71" i="1"/>
  <c r="D72" i="1"/>
  <c r="D73" i="1"/>
  <c r="B69" i="1"/>
  <c r="B70" i="1"/>
  <c r="B71" i="1"/>
  <c r="B72" i="1"/>
  <c r="B73" i="1"/>
  <c r="B68" i="1"/>
  <c r="S11" i="1"/>
  <c r="E30" i="1"/>
  <c r="L11" i="1"/>
  <c r="E11" i="1"/>
  <c r="C11" i="1"/>
  <c r="Q30" i="1"/>
  <c r="Q11" i="1"/>
  <c r="P3" i="1"/>
  <c r="P4" i="1" s="1"/>
  <c r="P5" i="1" s="1"/>
  <c r="P6" i="1" s="1"/>
  <c r="P7" i="1" s="1"/>
  <c r="P8" i="1" s="1"/>
  <c r="C49" i="1"/>
  <c r="P22" i="1"/>
  <c r="P23" i="1" s="1"/>
  <c r="P24" i="1" s="1"/>
  <c r="G100" i="1" l="1"/>
  <c r="G98" i="1"/>
  <c r="G102" i="1"/>
  <c r="G89" i="1"/>
  <c r="G90" i="1"/>
  <c r="G91" i="1"/>
  <c r="G92" i="1"/>
  <c r="G93" i="1"/>
  <c r="G78" i="1"/>
  <c r="G79" i="1"/>
  <c r="G83" i="1"/>
  <c r="G82" i="1"/>
  <c r="N72" i="1"/>
  <c r="N74" i="1"/>
  <c r="N68" i="1"/>
  <c r="N70" i="1"/>
  <c r="N75" i="1"/>
  <c r="G73" i="1"/>
  <c r="G69" i="1"/>
  <c r="G72" i="1"/>
  <c r="G68" i="1"/>
  <c r="G71" i="1"/>
  <c r="P25" i="1"/>
  <c r="P26" i="1" l="1"/>
  <c r="P27" i="1" l="1"/>
  <c r="J30" i="1" l="1"/>
  <c r="I22" i="1"/>
  <c r="I23" i="1" s="1"/>
  <c r="I24" i="1" s="1"/>
  <c r="C30" i="1"/>
  <c r="B22" i="1"/>
  <c r="B23" i="1" s="1"/>
  <c r="J11" i="1"/>
  <c r="I3" i="1"/>
  <c r="I4" i="1" s="1"/>
  <c r="I25" i="1" l="1"/>
  <c r="B24" i="1"/>
  <c r="I5" i="1"/>
  <c r="I26" i="1" l="1"/>
  <c r="B25" i="1"/>
  <c r="I6" i="1"/>
  <c r="I27" i="1" l="1"/>
  <c r="B26" i="1"/>
  <c r="I7" i="1"/>
  <c r="B27" i="1" l="1"/>
  <c r="I8" i="1"/>
  <c r="B3" i="1"/>
  <c r="B4" i="1" s="1"/>
  <c r="B5" i="1" l="1"/>
  <c r="B6" i="1" l="1"/>
  <c r="B7" i="1" l="1"/>
  <c r="B8" i="1" l="1"/>
</calcChain>
</file>

<file path=xl/sharedStrings.xml><?xml version="1.0" encoding="utf-8"?>
<sst xmlns="http://schemas.openxmlformats.org/spreadsheetml/2006/main" count="112" uniqueCount="19">
  <si>
    <t>IL22 (pg/mL)</t>
  </si>
  <si>
    <t>AMB</t>
  </si>
  <si>
    <t>gmean FL</t>
  </si>
  <si>
    <t>IL23 (pg/mL)</t>
  </si>
  <si>
    <t>IL6 (pg/mL)</t>
  </si>
  <si>
    <t>LOD</t>
  </si>
  <si>
    <t>HDX20</t>
  </si>
  <si>
    <t>HDX20+spike1</t>
  </si>
  <si>
    <t>40pg/mL</t>
  </si>
  <si>
    <t>HDX20+spike2</t>
  </si>
  <si>
    <t>1.6pg/mL</t>
  </si>
  <si>
    <t>HDX23</t>
  </si>
  <si>
    <t>HDX23+spike1</t>
  </si>
  <si>
    <t>IL10 (pg/mL)</t>
  </si>
  <si>
    <t>IL17 (pg/mL)</t>
  </si>
  <si>
    <t>IL18 (pg/mL)</t>
  </si>
  <si>
    <t>TNFa (pg/mL)</t>
  </si>
  <si>
    <t>florescence per on bead</t>
  </si>
  <si>
    <t>florescence corrected number of particles per bead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</si>
</sst>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A30E-C2E4-9E41-8A8F-BFC42DDE71DC}">
  <dimension ref="A1:U102"/>
  <sheetViews>
    <sheetView tabSelected="1" zoomScale="75" zoomScaleNormal="156" workbookViewId="0">
      <selection activeCell="K17" sqref="K17"/>
    </sheetView>
  </sheetViews>
  <sheetFormatPr defaultColWidth="11" defaultRowHeight="15.95"/>
  <cols>
    <col min="2" max="2" width="15.125" customWidth="1"/>
  </cols>
  <sheetData>
    <row r="1" spans="1:21">
      <c r="B1" t="s">
        <v>0</v>
      </c>
      <c r="C1" t="s">
        <v>1</v>
      </c>
      <c r="E1" s="1" t="s">
        <v>2</v>
      </c>
      <c r="I1" s="1" t="s">
        <v>3</v>
      </c>
      <c r="J1" s="1" t="s">
        <v>1</v>
      </c>
      <c r="L1" s="1" t="s">
        <v>2</v>
      </c>
      <c r="P1" s="2" t="s">
        <v>4</v>
      </c>
      <c r="Q1" s="1" t="s">
        <v>1</v>
      </c>
      <c r="S1" s="1" t="s">
        <v>2</v>
      </c>
    </row>
    <row r="2" spans="1:21">
      <c r="B2">
        <v>200</v>
      </c>
      <c r="C2">
        <v>5.5214610000000004</v>
      </c>
      <c r="D2">
        <v>4.5098599999999998</v>
      </c>
      <c r="E2">
        <v>521000</v>
      </c>
      <c r="F2">
        <v>717000</v>
      </c>
      <c r="I2">
        <v>200</v>
      </c>
      <c r="J2">
        <v>0.87707001872087365</v>
      </c>
      <c r="K2">
        <v>1.2873544132649875</v>
      </c>
      <c r="L2">
        <v>59760</v>
      </c>
      <c r="M2">
        <v>65389</v>
      </c>
      <c r="P2">
        <v>200</v>
      </c>
      <c r="Q2">
        <v>1.8578992717326006</v>
      </c>
      <c r="R2">
        <v>2.7333680090865009</v>
      </c>
      <c r="S2">
        <v>319875</v>
      </c>
      <c r="T2">
        <v>212684</v>
      </c>
    </row>
    <row r="3" spans="1:21">
      <c r="B3">
        <f t="shared" ref="B3:B8" si="0">B2/5</f>
        <v>40</v>
      </c>
      <c r="C3">
        <v>4.135167</v>
      </c>
      <c r="D3">
        <v>4.1997049999999998</v>
      </c>
      <c r="E3">
        <v>228656</v>
      </c>
      <c r="F3">
        <v>237421</v>
      </c>
      <c r="I3">
        <f t="shared" ref="I3:I8" si="1">I2/5</f>
        <v>40</v>
      </c>
      <c r="J3">
        <v>0.81418550893700148</v>
      </c>
      <c r="K3">
        <v>0.68121860969467152</v>
      </c>
      <c r="L3">
        <v>20029</v>
      </c>
      <c r="M3">
        <v>18869</v>
      </c>
      <c r="P3">
        <f t="shared" ref="P3:P8" si="2">P2/5</f>
        <v>40</v>
      </c>
      <c r="Q3">
        <v>1.1647520911726545</v>
      </c>
      <c r="R3">
        <v>1.443923473956527</v>
      </c>
      <c r="S3">
        <v>25969</v>
      </c>
      <c r="T3">
        <v>28264</v>
      </c>
    </row>
    <row r="4" spans="1:21">
      <c r="B4">
        <f t="shared" si="0"/>
        <v>8</v>
      </c>
      <c r="C4">
        <v>2.5902669999999999</v>
      </c>
      <c r="D4">
        <v>2.7181009999999999</v>
      </c>
      <c r="E4">
        <v>44673</v>
      </c>
      <c r="F4">
        <v>52411</v>
      </c>
      <c r="I4">
        <f t="shared" si="1"/>
        <v>8</v>
      </c>
      <c r="J4">
        <v>0.18512548412668892</v>
      </c>
      <c r="K4">
        <v>0.17793120849266178</v>
      </c>
      <c r="L4">
        <v>11740</v>
      </c>
      <c r="M4">
        <v>12034</v>
      </c>
      <c r="P4">
        <f t="shared" si="2"/>
        <v>8</v>
      </c>
      <c r="Q4">
        <v>0.79850769621777173</v>
      </c>
      <c r="R4">
        <v>0.50583808225495164</v>
      </c>
      <c r="S4">
        <v>17767</v>
      </c>
      <c r="T4">
        <v>15093</v>
      </c>
    </row>
    <row r="5" spans="1:21">
      <c r="B5">
        <f t="shared" si="0"/>
        <v>1.6</v>
      </c>
      <c r="C5">
        <v>0.50418099999999999</v>
      </c>
      <c r="D5">
        <v>0.58698700000000004</v>
      </c>
      <c r="E5">
        <v>16725</v>
      </c>
      <c r="F5">
        <v>14506</v>
      </c>
      <c r="I5">
        <f t="shared" si="1"/>
        <v>1.6</v>
      </c>
      <c r="J5">
        <v>8.0667903067454819E-2</v>
      </c>
      <c r="K5">
        <v>8.9596533811756168E-2</v>
      </c>
      <c r="L5">
        <v>11069</v>
      </c>
      <c r="M5">
        <v>11646</v>
      </c>
      <c r="P5">
        <f t="shared" si="2"/>
        <v>1.6</v>
      </c>
      <c r="Q5">
        <v>0.22941316432780509</v>
      </c>
      <c r="R5">
        <v>0.22439433321586247</v>
      </c>
      <c r="S5">
        <v>14573</v>
      </c>
      <c r="T5">
        <v>13360</v>
      </c>
    </row>
    <row r="6" spans="1:21">
      <c r="B6">
        <f t="shared" si="0"/>
        <v>0.32</v>
      </c>
      <c r="C6">
        <v>0.15568699999999999</v>
      </c>
      <c r="D6">
        <v>0.19845099999999999</v>
      </c>
      <c r="E6">
        <v>16265</v>
      </c>
      <c r="F6">
        <v>13058</v>
      </c>
      <c r="I6">
        <f t="shared" si="1"/>
        <v>0.32</v>
      </c>
      <c r="J6">
        <v>6.9350078134793172E-2</v>
      </c>
      <c r="K6">
        <v>6.4538521137571178E-2</v>
      </c>
      <c r="L6">
        <v>10832</v>
      </c>
      <c r="M6">
        <v>10396</v>
      </c>
      <c r="P6">
        <f t="shared" si="2"/>
        <v>0.32</v>
      </c>
      <c r="Q6">
        <v>0.11428914640212766</v>
      </c>
      <c r="R6">
        <v>0.13926206733350766</v>
      </c>
      <c r="S6">
        <v>12869</v>
      </c>
      <c r="T6">
        <v>11640</v>
      </c>
    </row>
    <row r="7" spans="1:21">
      <c r="B7">
        <f t="shared" si="0"/>
        <v>6.4000000000000001E-2</v>
      </c>
      <c r="C7">
        <v>0.115411</v>
      </c>
      <c r="D7">
        <v>8.0018000000000006E-2</v>
      </c>
      <c r="E7">
        <v>12021</v>
      </c>
      <c r="F7">
        <v>12826</v>
      </c>
      <c r="I7">
        <f t="shared" si="1"/>
        <v>6.4000000000000001E-2</v>
      </c>
      <c r="J7">
        <v>4.7091607533850569E-2</v>
      </c>
      <c r="K7">
        <v>4.5939231941445217E-2</v>
      </c>
      <c r="L7">
        <v>11833</v>
      </c>
      <c r="M7">
        <v>10121</v>
      </c>
      <c r="P7">
        <f t="shared" si="2"/>
        <v>6.4000000000000001E-2</v>
      </c>
      <c r="Q7">
        <v>8.4142768112428087E-2</v>
      </c>
      <c r="R7">
        <v>8.0993159209531859E-2</v>
      </c>
      <c r="S7">
        <v>13196</v>
      </c>
      <c r="T7">
        <v>11472</v>
      </c>
    </row>
    <row r="8" spans="1:21">
      <c r="B8">
        <f t="shared" si="0"/>
        <v>1.2800000000000001E-2</v>
      </c>
      <c r="C8">
        <v>3.8948999999999998E-2</v>
      </c>
      <c r="D8">
        <v>3.1800000000000002E-2</v>
      </c>
      <c r="E8">
        <v>12014</v>
      </c>
      <c r="F8">
        <v>12355</v>
      </c>
      <c r="I8">
        <f t="shared" si="1"/>
        <v>1.2800000000000001E-2</v>
      </c>
      <c r="J8">
        <v>4.0301296773525688E-2</v>
      </c>
      <c r="K8">
        <v>4.1342963534382431E-2</v>
      </c>
      <c r="L8">
        <v>10216</v>
      </c>
      <c r="M8">
        <v>10036</v>
      </c>
      <c r="P8">
        <f t="shared" si="2"/>
        <v>1.2800000000000001E-2</v>
      </c>
      <c r="Q8">
        <v>4.3116291073628077E-2</v>
      </c>
      <c r="R8">
        <v>4.5125484126689E-2</v>
      </c>
      <c r="S8">
        <v>12086</v>
      </c>
      <c r="T8">
        <v>10153</v>
      </c>
    </row>
    <row r="9" spans="1:21">
      <c r="B9">
        <v>0</v>
      </c>
      <c r="C9">
        <v>5.4667E-2</v>
      </c>
      <c r="D9">
        <v>6.1989700000000002E-2</v>
      </c>
      <c r="E9">
        <v>10505</v>
      </c>
      <c r="F9">
        <v>11696</v>
      </c>
      <c r="I9">
        <v>0</v>
      </c>
      <c r="J9">
        <v>2.5830760034521515E-2</v>
      </c>
      <c r="K9">
        <v>1.9692633345736045E-2</v>
      </c>
      <c r="L9">
        <v>11048</v>
      </c>
      <c r="M9">
        <v>11048</v>
      </c>
      <c r="P9">
        <v>0</v>
      </c>
      <c r="Q9">
        <v>4.5729851706174329E-2</v>
      </c>
      <c r="R9">
        <v>3.9156220293917299E-2</v>
      </c>
      <c r="S9">
        <v>11923</v>
      </c>
      <c r="T9">
        <v>8733</v>
      </c>
    </row>
    <row r="11" spans="1:21">
      <c r="B11" t="s">
        <v>5</v>
      </c>
      <c r="C11">
        <f>AVERAGE(C9:D9)+3*STDEV(C9:D9)</f>
        <v>7.3862142479784204E-2</v>
      </c>
      <c r="E11">
        <f>AVERAGE(E9:F9)+3*STDEV(E9:F9)</f>
        <v>13626.992529179533</v>
      </c>
      <c r="I11" t="s">
        <v>5</v>
      </c>
      <c r="J11">
        <f>AVERAGE(J9:K9)+3*STDEV(J9:K9)</f>
        <v>3.5782629706395785E-2</v>
      </c>
      <c r="L11">
        <f>AVERAGE(L9:M9)+3*STDEV(L9:M9)</f>
        <v>11048</v>
      </c>
      <c r="P11" t="s">
        <v>5</v>
      </c>
      <c r="Q11">
        <f>AVERAGE(Q9:R9)+3*STDEV(Q9:R9)</f>
        <v>5.6387814045929352E-2</v>
      </c>
      <c r="S11">
        <f>AVERAGE(S9:T9)+3*STDEV(S9:T9)</f>
        <v>17095.01189595526</v>
      </c>
    </row>
    <row r="12" spans="1:21">
      <c r="D12" t="s">
        <v>1</v>
      </c>
      <c r="F12" s="1" t="s">
        <v>2</v>
      </c>
      <c r="K12" t="s">
        <v>1</v>
      </c>
      <c r="M12" s="1" t="s">
        <v>2</v>
      </c>
      <c r="R12" t="s">
        <v>1</v>
      </c>
      <c r="T12" s="1" t="s">
        <v>2</v>
      </c>
    </row>
    <row r="13" spans="1:21">
      <c r="A13" s="1"/>
      <c r="B13" t="s">
        <v>6</v>
      </c>
      <c r="D13">
        <v>2.6755000000000001E-2</v>
      </c>
      <c r="E13">
        <v>3.1593999999999997E-2</v>
      </c>
      <c r="F13">
        <v>12044</v>
      </c>
      <c r="G13">
        <v>12676</v>
      </c>
      <c r="I13" t="s">
        <v>6</v>
      </c>
      <c r="K13">
        <v>2.3473356185642127E-2</v>
      </c>
      <c r="L13">
        <v>2.3825718912425801E-2</v>
      </c>
      <c r="M13">
        <v>12350</v>
      </c>
      <c r="N13">
        <v>12128</v>
      </c>
      <c r="P13" t="s">
        <v>6</v>
      </c>
      <c r="R13">
        <v>4.8875167782136686E-2</v>
      </c>
      <c r="S13">
        <v>3.2110053918233586E-2</v>
      </c>
      <c r="T13">
        <v>11805</v>
      </c>
      <c r="U13">
        <v>10971</v>
      </c>
    </row>
    <row r="14" spans="1:21">
      <c r="B14" s="1" t="s">
        <v>7</v>
      </c>
      <c r="C14" t="s">
        <v>8</v>
      </c>
      <c r="D14">
        <v>3.1235659999999998</v>
      </c>
      <c r="E14">
        <v>5.115996</v>
      </c>
      <c r="F14">
        <v>167243</v>
      </c>
      <c r="G14">
        <v>240684</v>
      </c>
      <c r="I14" s="1" t="s">
        <v>7</v>
      </c>
      <c r="J14" t="s">
        <v>8</v>
      </c>
      <c r="K14">
        <v>0.84041215371674505</v>
      </c>
      <c r="L14">
        <v>0.80089294237939002</v>
      </c>
      <c r="M14">
        <v>19182</v>
      </c>
      <c r="N14">
        <v>18356</v>
      </c>
      <c r="P14" s="1" t="s">
        <v>7</v>
      </c>
      <c r="Q14" t="s">
        <v>8</v>
      </c>
      <c r="R14">
        <v>1.7147984280919264</v>
      </c>
      <c r="S14">
        <v>1.17155683058764</v>
      </c>
      <c r="T14">
        <v>29747</v>
      </c>
      <c r="U14">
        <v>22941</v>
      </c>
    </row>
    <row r="15" spans="1:21">
      <c r="B15" s="1" t="s">
        <v>9</v>
      </c>
      <c r="C15" t="s">
        <v>10</v>
      </c>
      <c r="D15">
        <v>0.63111200000000001</v>
      </c>
      <c r="E15">
        <v>0.70140199999999997</v>
      </c>
      <c r="F15">
        <v>15840</v>
      </c>
      <c r="G15">
        <v>16800</v>
      </c>
      <c r="I15" s="1" t="s">
        <v>9</v>
      </c>
      <c r="J15" t="s">
        <v>10</v>
      </c>
      <c r="K15">
        <v>8.4033888492485595E-2</v>
      </c>
      <c r="L15">
        <v>8.4456185796058902E-2</v>
      </c>
      <c r="M15">
        <v>12919</v>
      </c>
      <c r="N15">
        <v>12277</v>
      </c>
      <c r="P15" s="1" t="s">
        <v>9</v>
      </c>
      <c r="Q15" t="s">
        <v>10</v>
      </c>
      <c r="R15">
        <v>0.292371892647456</v>
      </c>
      <c r="S15">
        <v>0.35953617621976464</v>
      </c>
      <c r="T15">
        <v>12005</v>
      </c>
      <c r="U15">
        <v>13266</v>
      </c>
    </row>
    <row r="16" spans="1:21">
      <c r="B16" t="s">
        <v>11</v>
      </c>
      <c r="D16">
        <v>3.6144999999999997E-2</v>
      </c>
      <c r="E16">
        <v>3.2627000000000003E-2</v>
      </c>
      <c r="F16">
        <v>11460</v>
      </c>
      <c r="G16">
        <v>13224</v>
      </c>
      <c r="I16" t="s">
        <v>11</v>
      </c>
      <c r="K16">
        <v>4.5243416362444E-2</v>
      </c>
      <c r="L16">
        <v>2.9222858676903284E-2</v>
      </c>
      <c r="M16">
        <v>12800</v>
      </c>
      <c r="N16">
        <v>13221</v>
      </c>
      <c r="P16" t="s">
        <v>11</v>
      </c>
      <c r="R16">
        <v>0.10869941692334091</v>
      </c>
      <c r="S16">
        <v>6.1343150408763002E-2</v>
      </c>
      <c r="T16">
        <v>10568</v>
      </c>
      <c r="U16">
        <v>10741</v>
      </c>
    </row>
    <row r="17" spans="2:21">
      <c r="B17" s="1" t="s">
        <v>12</v>
      </c>
      <c r="C17" t="s">
        <v>8</v>
      </c>
      <c r="D17">
        <v>2.9957319999999998</v>
      </c>
      <c r="E17">
        <v>3.688879</v>
      </c>
      <c r="F17">
        <v>178282</v>
      </c>
      <c r="G17">
        <v>180466</v>
      </c>
      <c r="I17" s="1" t="s">
        <v>12</v>
      </c>
      <c r="J17" t="s">
        <v>8</v>
      </c>
      <c r="K17">
        <v>0.9493305859523552</v>
      </c>
      <c r="L17">
        <v>0.95711272639441014</v>
      </c>
      <c r="M17">
        <v>21270</v>
      </c>
      <c r="N17">
        <v>18893</v>
      </c>
      <c r="P17" s="1" t="s">
        <v>12</v>
      </c>
      <c r="Q17" t="s">
        <v>8</v>
      </c>
      <c r="R17">
        <v>1.9732813458514451</v>
      </c>
      <c r="S17">
        <v>1.2349264445202299</v>
      </c>
      <c r="T17">
        <v>36243</v>
      </c>
      <c r="U17">
        <v>27356</v>
      </c>
    </row>
    <row r="18" spans="2:21">
      <c r="B18" s="1" t="s">
        <v>12</v>
      </c>
      <c r="C18" t="s">
        <v>10</v>
      </c>
      <c r="D18">
        <v>0.49008400000000002</v>
      </c>
      <c r="E18">
        <v>0.524648</v>
      </c>
      <c r="F18">
        <v>15136</v>
      </c>
      <c r="G18">
        <v>15645</v>
      </c>
      <c r="I18" s="1" t="s">
        <v>12</v>
      </c>
      <c r="J18" t="s">
        <v>10</v>
      </c>
      <c r="K18">
        <v>9.4111945467244301E-2</v>
      </c>
      <c r="L18">
        <v>9.2194603593117805E-2</v>
      </c>
      <c r="M18">
        <v>12407</v>
      </c>
      <c r="N18">
        <v>13356</v>
      </c>
      <c r="P18" s="1" t="s">
        <v>12</v>
      </c>
      <c r="Q18" t="s">
        <v>10</v>
      </c>
      <c r="R18">
        <v>0.25231492861448956</v>
      </c>
      <c r="S18">
        <v>0.32050662058189</v>
      </c>
      <c r="T18">
        <v>13498</v>
      </c>
      <c r="U18">
        <v>14361</v>
      </c>
    </row>
    <row r="20" spans="2:21">
      <c r="B20" s="2" t="s">
        <v>13</v>
      </c>
      <c r="C20" s="1" t="s">
        <v>1</v>
      </c>
      <c r="E20" s="1" t="s">
        <v>2</v>
      </c>
      <c r="I20" s="1" t="s">
        <v>14</v>
      </c>
      <c r="J20" s="1" t="s">
        <v>1</v>
      </c>
      <c r="L20" s="1" t="s">
        <v>2</v>
      </c>
      <c r="P20" s="1" t="s">
        <v>15</v>
      </c>
      <c r="Q20" s="1" t="s">
        <v>1</v>
      </c>
      <c r="S20" s="1" t="s">
        <v>2</v>
      </c>
    </row>
    <row r="21" spans="2:21">
      <c r="B21">
        <v>200</v>
      </c>
      <c r="C21" s="1">
        <v>4.8283137399999996</v>
      </c>
      <c r="D21" s="1">
        <v>4.34280592</v>
      </c>
      <c r="E21">
        <v>44390</v>
      </c>
      <c r="F21">
        <v>51029</v>
      </c>
      <c r="I21">
        <v>200</v>
      </c>
      <c r="J21">
        <v>3.6888794541139354</v>
      </c>
      <c r="K21">
        <v>4.422848629194136</v>
      </c>
      <c r="L21">
        <v>429000</v>
      </c>
      <c r="M21">
        <v>512000</v>
      </c>
      <c r="P21">
        <v>200</v>
      </c>
      <c r="Q21" s="1">
        <v>2.513306</v>
      </c>
      <c r="R21" s="1">
        <v>2.9957319999999998</v>
      </c>
      <c r="S21">
        <v>112519</v>
      </c>
      <c r="T21">
        <v>113865</v>
      </c>
    </row>
    <row r="22" spans="2:21">
      <c r="B22">
        <f t="shared" ref="B22:B27" si="3">B21/5</f>
        <v>40</v>
      </c>
      <c r="C22" s="1">
        <v>0.81871039999999995</v>
      </c>
      <c r="D22" s="1">
        <v>0.89648810000000001</v>
      </c>
      <c r="E22">
        <v>13359</v>
      </c>
      <c r="F22">
        <v>14815</v>
      </c>
      <c r="I22">
        <f t="shared" ref="I22:I27" si="4">I21/5</f>
        <v>40</v>
      </c>
      <c r="J22">
        <v>2.6592600369327788</v>
      </c>
      <c r="K22">
        <v>3.5065578973199809</v>
      </c>
      <c r="L22">
        <v>108791</v>
      </c>
      <c r="M22">
        <v>109485</v>
      </c>
      <c r="P22">
        <f t="shared" ref="P22:P27" si="5">P21/5</f>
        <v>40</v>
      </c>
      <c r="Q22" s="1">
        <v>1.7092579999999999</v>
      </c>
      <c r="R22" s="1">
        <v>1.9877739999999999</v>
      </c>
      <c r="S22">
        <v>36325</v>
      </c>
      <c r="T22">
        <v>37463</v>
      </c>
    </row>
    <row r="23" spans="2:21">
      <c r="B23">
        <f t="shared" si="3"/>
        <v>8</v>
      </c>
      <c r="C23" s="1">
        <v>0.16251893000000001</v>
      </c>
      <c r="D23" s="1">
        <v>0.19116051000000001</v>
      </c>
      <c r="E23">
        <v>10666</v>
      </c>
      <c r="F23">
        <v>11732</v>
      </c>
      <c r="I23">
        <f t="shared" si="4"/>
        <v>8</v>
      </c>
      <c r="J23">
        <v>2.4304184645039308</v>
      </c>
      <c r="K23">
        <v>2.3968957724652875</v>
      </c>
      <c r="L23">
        <v>22106</v>
      </c>
      <c r="M23">
        <v>20213</v>
      </c>
      <c r="P23">
        <f t="shared" si="5"/>
        <v>8</v>
      </c>
      <c r="Q23" s="1">
        <v>0.42924600000000002</v>
      </c>
      <c r="R23" s="1">
        <v>0.43850499999999998</v>
      </c>
      <c r="S23">
        <v>21595</v>
      </c>
      <c r="T23">
        <v>20118</v>
      </c>
    </row>
    <row r="24" spans="2:21">
      <c r="B24">
        <f t="shared" si="3"/>
        <v>1.6</v>
      </c>
      <c r="C24" s="1">
        <v>6.9602780000000003E-2</v>
      </c>
      <c r="D24" s="1">
        <v>7.1173819999999999E-2</v>
      </c>
      <c r="E24">
        <v>11644</v>
      </c>
      <c r="F24">
        <v>10900</v>
      </c>
      <c r="I24">
        <f t="shared" si="4"/>
        <v>1.6</v>
      </c>
      <c r="J24">
        <v>0.64245406624442714</v>
      </c>
      <c r="K24">
        <v>0.60880603212619433</v>
      </c>
      <c r="L24">
        <v>10033</v>
      </c>
      <c r="M24">
        <v>9925</v>
      </c>
      <c r="P24">
        <f t="shared" si="5"/>
        <v>1.6</v>
      </c>
      <c r="Q24" s="1">
        <v>0.12443</v>
      </c>
      <c r="R24" s="1">
        <v>0.17912700000000001</v>
      </c>
      <c r="S24">
        <v>18448</v>
      </c>
      <c r="T24">
        <v>19199</v>
      </c>
    </row>
    <row r="25" spans="2:21">
      <c r="B25">
        <f t="shared" si="3"/>
        <v>0.32</v>
      </c>
      <c r="C25" s="1">
        <v>2.14068E-2</v>
      </c>
      <c r="D25" s="1">
        <v>2.8811079999999999E-2</v>
      </c>
      <c r="E25">
        <v>11269</v>
      </c>
      <c r="F25">
        <v>10696</v>
      </c>
      <c r="I25">
        <f t="shared" si="4"/>
        <v>0.32</v>
      </c>
      <c r="J25">
        <v>0.15899573149045795</v>
      </c>
      <c r="K25">
        <v>0.16134315040876293</v>
      </c>
      <c r="L25">
        <v>8313</v>
      </c>
      <c r="M25">
        <v>8105</v>
      </c>
      <c r="P25">
        <f t="shared" si="5"/>
        <v>0.32</v>
      </c>
      <c r="Q25" s="1">
        <v>8.7956999999999994E-2</v>
      </c>
      <c r="R25" s="1">
        <v>6.9028999999999993E-2</v>
      </c>
      <c r="S25">
        <v>19966</v>
      </c>
      <c r="T25">
        <v>20696</v>
      </c>
    </row>
    <row r="26" spans="2:21">
      <c r="B26">
        <f t="shared" si="3"/>
        <v>6.4000000000000001E-2</v>
      </c>
      <c r="C26" s="1">
        <v>1.6027759999999999E-2</v>
      </c>
      <c r="D26" s="1">
        <v>1.6129379999999999E-2</v>
      </c>
      <c r="E26">
        <v>11010</v>
      </c>
      <c r="F26">
        <v>9423</v>
      </c>
      <c r="I26">
        <f t="shared" si="4"/>
        <v>6.4000000000000001E-2</v>
      </c>
      <c r="J26">
        <v>8.5122253416835089E-2</v>
      </c>
      <c r="K26">
        <v>8.9924707527987008E-2</v>
      </c>
      <c r="L26">
        <v>8253</v>
      </c>
      <c r="M26">
        <v>7822</v>
      </c>
      <c r="P26">
        <f t="shared" si="5"/>
        <v>6.4000000000000001E-2</v>
      </c>
      <c r="Q26" s="1">
        <v>2.8296999999999999E-2</v>
      </c>
      <c r="R26" s="1">
        <v>2.08255E-2</v>
      </c>
      <c r="S26">
        <v>20254</v>
      </c>
      <c r="T26">
        <v>23278</v>
      </c>
    </row>
    <row r="27" spans="2:21">
      <c r="B27">
        <f t="shared" si="3"/>
        <v>1.2800000000000001E-2</v>
      </c>
      <c r="C27" s="1">
        <v>1.1878354000000001E-2</v>
      </c>
      <c r="D27" s="1">
        <v>1.0513832000000001E-2</v>
      </c>
      <c r="E27">
        <v>10318</v>
      </c>
      <c r="F27">
        <v>11066</v>
      </c>
      <c r="I27">
        <f t="shared" si="4"/>
        <v>1.2800000000000001E-2</v>
      </c>
      <c r="J27">
        <v>5.7311366713113522E-2</v>
      </c>
      <c r="K27">
        <v>4.5729851706174329E-2</v>
      </c>
      <c r="L27">
        <v>8188</v>
      </c>
      <c r="M27">
        <v>6983</v>
      </c>
      <c r="P27">
        <f t="shared" si="5"/>
        <v>1.2800000000000001E-2</v>
      </c>
      <c r="Q27" s="1">
        <v>1.4402999999999999E-2</v>
      </c>
      <c r="R27" s="1">
        <v>1.2579E-2</v>
      </c>
      <c r="S27">
        <v>19473</v>
      </c>
      <c r="T27">
        <v>32400</v>
      </c>
    </row>
    <row r="28" spans="2:21">
      <c r="B28">
        <v>0</v>
      </c>
      <c r="C28" s="1">
        <v>1.075766E-2</v>
      </c>
      <c r="D28" s="1">
        <v>1.0872329999999999E-2</v>
      </c>
      <c r="E28">
        <v>6938</v>
      </c>
      <c r="F28">
        <v>9522</v>
      </c>
      <c r="I28">
        <v>0</v>
      </c>
      <c r="J28">
        <v>2.6652030997426513E-2</v>
      </c>
      <c r="K28">
        <v>3.5730809955798949E-2</v>
      </c>
      <c r="L28">
        <v>7752</v>
      </c>
      <c r="M28">
        <v>7132</v>
      </c>
      <c r="P28">
        <v>0</v>
      </c>
      <c r="Q28" s="1">
        <v>6.6781000000000002E-3</v>
      </c>
      <c r="R28" s="1">
        <v>8.7379999999999992E-3</v>
      </c>
      <c r="S28">
        <v>21432</v>
      </c>
      <c r="T28">
        <v>34410</v>
      </c>
    </row>
    <row r="30" spans="2:21">
      <c r="B30" t="s">
        <v>5</v>
      </c>
      <c r="C30">
        <f>AVERAGE(C28:D28)+3*STDEV(C28:D28)</f>
        <v>1.1058246803795984E-2</v>
      </c>
      <c r="E30">
        <f>AVERAGE(E28:F28)+3*STDEV(E28:F28)</f>
        <v>13711.491767758116</v>
      </c>
      <c r="I30" t="s">
        <v>5</v>
      </c>
      <c r="J30">
        <f>AVERAGE(J28:K28)+3*STDEV(J28:K28)</f>
        <v>5.0450418975689415E-2</v>
      </c>
      <c r="P30" t="s">
        <v>5</v>
      </c>
      <c r="Q30">
        <f>AVERAGE(Q28:R28)+STDEV(Q28:R28)</f>
        <v>9.1646192585661673E-3</v>
      </c>
    </row>
    <row r="31" spans="2:21">
      <c r="D31" s="1" t="s">
        <v>1</v>
      </c>
      <c r="F31" s="1" t="s">
        <v>2</v>
      </c>
      <c r="K31" s="1" t="s">
        <v>1</v>
      </c>
      <c r="M31" s="1" t="s">
        <v>2</v>
      </c>
      <c r="R31" s="1" t="s">
        <v>1</v>
      </c>
      <c r="T31" s="1" t="s">
        <v>2</v>
      </c>
    </row>
    <row r="32" spans="2:21">
      <c r="B32" t="s">
        <v>6</v>
      </c>
      <c r="D32" s="1">
        <v>1.846952E-2</v>
      </c>
      <c r="E32" s="1">
        <v>2.0100670000000001E-2</v>
      </c>
      <c r="F32">
        <v>10768</v>
      </c>
      <c r="G32">
        <v>11642</v>
      </c>
      <c r="I32" t="s">
        <v>6</v>
      </c>
      <c r="K32">
        <v>1.5926150550259255E-2</v>
      </c>
      <c r="L32">
        <v>1.7349638335112993E-2</v>
      </c>
      <c r="M32">
        <v>7141</v>
      </c>
      <c r="N32">
        <v>7580</v>
      </c>
      <c r="P32" t="s">
        <v>6</v>
      </c>
      <c r="R32" s="1">
        <v>1.0151E-2</v>
      </c>
      <c r="S32" s="1">
        <v>8.6370000000000006E-3</v>
      </c>
      <c r="T32">
        <v>20382</v>
      </c>
      <c r="U32">
        <v>20498</v>
      </c>
    </row>
    <row r="33" spans="2:21">
      <c r="B33" s="1" t="s">
        <v>7</v>
      </c>
      <c r="C33" t="s">
        <v>8</v>
      </c>
      <c r="D33" s="1">
        <v>0.85420379999999996</v>
      </c>
      <c r="E33" s="1">
        <v>0.80253039999999998</v>
      </c>
      <c r="F33">
        <v>12778</v>
      </c>
      <c r="G33">
        <v>12110</v>
      </c>
      <c r="I33" s="1" t="s">
        <v>7</v>
      </c>
      <c r="J33" t="s">
        <v>8</v>
      </c>
      <c r="K33">
        <v>3.5755507688069321</v>
      </c>
      <c r="L33">
        <v>2.4534079827286299</v>
      </c>
      <c r="M33">
        <v>108714</v>
      </c>
      <c r="N33">
        <v>86201</v>
      </c>
      <c r="P33" s="1" t="s">
        <v>7</v>
      </c>
      <c r="Q33" t="s">
        <v>8</v>
      </c>
      <c r="R33" s="1">
        <v>1.624552</v>
      </c>
      <c r="S33" s="1">
        <v>2.1628229999999999</v>
      </c>
      <c r="T33">
        <v>34764</v>
      </c>
      <c r="U33">
        <v>33594</v>
      </c>
    </row>
    <row r="34" spans="2:21">
      <c r="B34" s="1" t="s">
        <v>9</v>
      </c>
      <c r="C34" t="s">
        <v>10</v>
      </c>
      <c r="D34" s="1">
        <v>8.1639699999999996E-2</v>
      </c>
      <c r="E34" s="1">
        <v>7.2003499999999998E-2</v>
      </c>
      <c r="F34">
        <v>11481</v>
      </c>
      <c r="G34">
        <v>10520</v>
      </c>
      <c r="I34" s="1" t="s">
        <v>9</v>
      </c>
      <c r="J34" t="s">
        <v>10</v>
      </c>
      <c r="K34">
        <v>0.67530726243161432</v>
      </c>
      <c r="L34">
        <v>0.69114917789727226</v>
      </c>
      <c r="M34">
        <v>10212</v>
      </c>
      <c r="N34">
        <v>10054</v>
      </c>
      <c r="P34" s="1" t="s">
        <v>9</v>
      </c>
      <c r="Q34" t="s">
        <v>10</v>
      </c>
      <c r="R34" s="1">
        <v>0.163046</v>
      </c>
      <c r="S34" s="1">
        <v>0.17644899999999999</v>
      </c>
      <c r="T34">
        <v>17452</v>
      </c>
      <c r="U34">
        <v>17849</v>
      </c>
    </row>
    <row r="35" spans="2:21">
      <c r="B35" t="s">
        <v>11</v>
      </c>
      <c r="D35" s="1">
        <v>1.521517E-2</v>
      </c>
      <c r="E35" s="1">
        <v>1.4098919999999999E-2</v>
      </c>
      <c r="F35">
        <v>8590</v>
      </c>
      <c r="G35">
        <v>10185</v>
      </c>
      <c r="I35" t="s">
        <v>11</v>
      </c>
      <c r="K35">
        <v>2.8140375327935001E-2</v>
      </c>
      <c r="L35">
        <v>2.6857454169882642E-2</v>
      </c>
      <c r="M35">
        <v>7962</v>
      </c>
      <c r="N35">
        <v>7119</v>
      </c>
      <c r="P35" t="s">
        <v>11</v>
      </c>
      <c r="R35" s="1">
        <v>9.3439999999999999E-3</v>
      </c>
      <c r="S35" s="1">
        <v>7.7299999999999999E-3</v>
      </c>
      <c r="T35">
        <v>28301</v>
      </c>
      <c r="U35">
        <v>29963</v>
      </c>
    </row>
    <row r="36" spans="2:21">
      <c r="B36" s="1" t="s">
        <v>12</v>
      </c>
      <c r="C36" t="s">
        <v>8</v>
      </c>
      <c r="D36" s="1">
        <v>0.82803119999999997</v>
      </c>
      <c r="E36" s="1">
        <v>0.81077960000000004</v>
      </c>
      <c r="F36">
        <v>12594</v>
      </c>
      <c r="G36">
        <v>12105</v>
      </c>
      <c r="I36" s="1" t="s">
        <v>12</v>
      </c>
      <c r="J36" t="s">
        <v>8</v>
      </c>
      <c r="K36">
        <v>2.5770219386958066</v>
      </c>
      <c r="L36">
        <v>2.6928195213731501</v>
      </c>
      <c r="M36">
        <v>93987</v>
      </c>
      <c r="N36">
        <v>85781</v>
      </c>
      <c r="P36" s="1" t="s">
        <v>12</v>
      </c>
      <c r="Q36" t="s">
        <v>8</v>
      </c>
      <c r="R36" s="1">
        <v>2.2537950000000002</v>
      </c>
      <c r="S36" s="1">
        <v>2.4418470000000001</v>
      </c>
      <c r="T36">
        <v>32464</v>
      </c>
      <c r="U36">
        <v>35956</v>
      </c>
    </row>
    <row r="37" spans="2:21">
      <c r="B37" s="1" t="s">
        <v>12</v>
      </c>
      <c r="C37" t="s">
        <v>10</v>
      </c>
      <c r="D37" s="1">
        <v>6.6376400000000002E-2</v>
      </c>
      <c r="E37" s="1">
        <v>0.1065658</v>
      </c>
      <c r="F37">
        <v>10049</v>
      </c>
      <c r="G37">
        <v>10972</v>
      </c>
      <c r="I37" s="1" t="s">
        <v>12</v>
      </c>
      <c r="J37" t="s">
        <v>10</v>
      </c>
      <c r="K37">
        <v>0.61989671882035258</v>
      </c>
      <c r="L37">
        <v>0.47481518624295743</v>
      </c>
      <c r="M37">
        <v>9977</v>
      </c>
      <c r="N37">
        <v>9691</v>
      </c>
      <c r="P37" s="1" t="s">
        <v>12</v>
      </c>
      <c r="Q37" t="s">
        <v>10</v>
      </c>
      <c r="R37" s="1">
        <v>0.17666499999999999</v>
      </c>
      <c r="S37" s="1">
        <v>0.17882700000000001</v>
      </c>
      <c r="T37">
        <v>17523</v>
      </c>
      <c r="U37">
        <v>17338</v>
      </c>
    </row>
    <row r="39" spans="2:21">
      <c r="B39" t="s">
        <v>16</v>
      </c>
    </row>
    <row r="40" spans="2:21">
      <c r="B40">
        <v>200</v>
      </c>
      <c r="C40">
        <v>1.0228592941460799</v>
      </c>
      <c r="D40">
        <v>1.0266520309974201</v>
      </c>
      <c r="E40">
        <v>103275</v>
      </c>
      <c r="F40">
        <v>101652</v>
      </c>
    </row>
    <row r="41" spans="2:21">
      <c r="B41">
        <v>40</v>
      </c>
      <c r="C41">
        <v>0.39749693845898743</v>
      </c>
      <c r="D41">
        <v>0.35810453674832671</v>
      </c>
      <c r="E41">
        <v>13996</v>
      </c>
      <c r="F41">
        <v>13561</v>
      </c>
    </row>
    <row r="42" spans="2:21">
      <c r="B42">
        <v>8</v>
      </c>
      <c r="C42">
        <v>0.11428914640212766</v>
      </c>
      <c r="D42">
        <v>9.1019398387168549E-2</v>
      </c>
      <c r="E42">
        <v>11863</v>
      </c>
      <c r="F42">
        <v>10816</v>
      </c>
    </row>
    <row r="43" spans="2:21">
      <c r="B43">
        <v>1.6</v>
      </c>
      <c r="C43">
        <v>6.6353500550021177E-2</v>
      </c>
      <c r="D43">
        <v>5.4667401342308207E-2</v>
      </c>
      <c r="E43">
        <v>11495</v>
      </c>
      <c r="F43">
        <v>11914</v>
      </c>
    </row>
    <row r="44" spans="2:21">
      <c r="B44">
        <v>0.32</v>
      </c>
      <c r="C44">
        <v>3.1387473241632727E-2</v>
      </c>
      <c r="D44">
        <v>3.1490667091370848E-2</v>
      </c>
      <c r="E44">
        <v>12007</v>
      </c>
      <c r="F44">
        <v>10061</v>
      </c>
    </row>
    <row r="45" spans="2:21">
      <c r="B45">
        <v>6.4000000000000001E-2</v>
      </c>
      <c r="C45">
        <v>2.4292692569044587E-2</v>
      </c>
      <c r="D45">
        <v>2.275698712261618E-2</v>
      </c>
      <c r="E45">
        <v>11352</v>
      </c>
      <c r="F45">
        <v>12466</v>
      </c>
    </row>
    <row r="46" spans="2:21">
      <c r="B46">
        <v>1.2800000000000001E-2</v>
      </c>
      <c r="C46">
        <v>1.8708164136743699E-2</v>
      </c>
      <c r="D46">
        <v>1.6960181582783101E-2</v>
      </c>
      <c r="E46">
        <v>12179</v>
      </c>
      <c r="F46">
        <v>10068</v>
      </c>
    </row>
    <row r="47" spans="2:21">
      <c r="B47">
        <v>0</v>
      </c>
      <c r="C47">
        <v>1.8662652583305898E-2</v>
      </c>
      <c r="D47">
        <v>1.9575736528705701E-2</v>
      </c>
      <c r="E47">
        <v>11650</v>
      </c>
      <c r="F47">
        <v>11932</v>
      </c>
    </row>
    <row r="49" spans="2:7">
      <c r="B49" t="s">
        <v>5</v>
      </c>
      <c r="C49">
        <f>AVERAGE(C47:D47)+3*STDEV(C47:D47)</f>
        <v>2.1056138104760102E-2</v>
      </c>
    </row>
    <row r="50" spans="2:7">
      <c r="D50" s="1" t="s">
        <v>1</v>
      </c>
      <c r="F50" s="1" t="s">
        <v>2</v>
      </c>
    </row>
    <row r="51" spans="2:7">
      <c r="B51" t="s">
        <v>6</v>
      </c>
      <c r="D51">
        <v>1.8062142818408518E-2</v>
      </c>
      <c r="E51">
        <v>1.6434306463424773E-2</v>
      </c>
      <c r="F51">
        <v>10312</v>
      </c>
      <c r="G51">
        <v>9838</v>
      </c>
    </row>
    <row r="52" spans="2:7">
      <c r="B52" s="1" t="s">
        <v>7</v>
      </c>
      <c r="C52" t="s">
        <v>8</v>
      </c>
      <c r="D52">
        <v>0.39884933698914898</v>
      </c>
      <c r="E52">
        <v>0.38367657358184898</v>
      </c>
      <c r="F52">
        <v>13811</v>
      </c>
      <c r="G52">
        <v>13797</v>
      </c>
    </row>
    <row r="53" spans="2:7">
      <c r="B53" s="1" t="s">
        <v>9</v>
      </c>
      <c r="C53" t="s">
        <v>10</v>
      </c>
      <c r="D53">
        <v>7.22750308756126E-2</v>
      </c>
      <c r="E53">
        <v>6.7393240042980002E-2</v>
      </c>
      <c r="F53">
        <v>8820</v>
      </c>
      <c r="G53">
        <v>10613</v>
      </c>
    </row>
    <row r="54" spans="2:7">
      <c r="B54" t="s">
        <v>11</v>
      </c>
      <c r="D54">
        <v>2.061095390412435E-2</v>
      </c>
      <c r="E54">
        <v>1.4910612735754241E-2</v>
      </c>
      <c r="F54">
        <v>10023</v>
      </c>
      <c r="G54">
        <v>8772</v>
      </c>
    </row>
    <row r="55" spans="2:7">
      <c r="B55" s="1" t="s">
        <v>12</v>
      </c>
      <c r="C55" t="s">
        <v>8</v>
      </c>
      <c r="D55">
        <v>0.48245312627994502</v>
      </c>
      <c r="E55">
        <v>0.53189828514118997</v>
      </c>
      <c r="F55">
        <v>13886</v>
      </c>
      <c r="G55">
        <v>12671</v>
      </c>
    </row>
    <row r="56" spans="2:7">
      <c r="B56" s="1" t="s">
        <v>12</v>
      </c>
      <c r="C56" t="s">
        <v>10</v>
      </c>
      <c r="D56">
        <v>7.1870172570487403E-2</v>
      </c>
      <c r="E56">
        <v>7.4200349401141397E-2</v>
      </c>
      <c r="F56">
        <v>9012</v>
      </c>
      <c r="G56">
        <v>10235</v>
      </c>
    </row>
    <row r="65" spans="1:14">
      <c r="F65" t="s">
        <v>17</v>
      </c>
    </row>
    <row r="67" spans="1:14">
      <c r="G67" t="s">
        <v>18</v>
      </c>
    </row>
    <row r="68" spans="1:14">
      <c r="A68">
        <f>B67/B68</f>
        <v>0</v>
      </c>
      <c r="B68">
        <f>B2</f>
        <v>200</v>
      </c>
      <c r="C68">
        <f>1-EXP(-D68)</f>
        <v>0.99336675067120006</v>
      </c>
      <c r="D68">
        <f t="shared" ref="D68:D73" si="6">AVERAGE(C2:D2)</f>
        <v>5.0156605000000001</v>
      </c>
      <c r="E68">
        <f>AVERAGE(E2:F2)</f>
        <v>619000</v>
      </c>
      <c r="F68">
        <f>E68/$E$72</f>
        <v>42.219418204140098</v>
      </c>
      <c r="G68">
        <f>F68*C68</f>
        <v>41.939366276675159</v>
      </c>
      <c r="I68">
        <f>I2</f>
        <v>200</v>
      </c>
      <c r="J68">
        <f>1-EXP(-K68)</f>
        <v>0.66115490264724208</v>
      </c>
      <c r="K68">
        <f t="shared" ref="K68:K73" si="7">AVERAGE(J2:K2)</f>
        <v>1.0822122159929306</v>
      </c>
      <c r="L68">
        <f>AVERAGE(L2:M2)</f>
        <v>62574.5</v>
      </c>
      <c r="M68">
        <f>L68/$E$72</f>
        <v>4.2679466630290213</v>
      </c>
      <c r="N68">
        <f>M68*J68</f>
        <v>2.821773860498574</v>
      </c>
    </row>
    <row r="69" spans="1:14">
      <c r="A69">
        <f t="shared" ref="A69:A72" si="8">B68/B69</f>
        <v>5</v>
      </c>
      <c r="B69">
        <f t="shared" ref="B69:B73" si="9">B3</f>
        <v>40</v>
      </c>
      <c r="C69">
        <f t="shared" ref="C69:C75" si="10">1-EXP(-D69)</f>
        <v>0.98450806944537372</v>
      </c>
      <c r="D69">
        <f t="shared" si="6"/>
        <v>4.1674360000000004</v>
      </c>
      <c r="E69">
        <f t="shared" ref="E69:E75" si="11">AVERAGE(E3:F3)</f>
        <v>233038.5</v>
      </c>
      <c r="F69">
        <f>E69/$E$72</f>
        <v>15.894587866180132</v>
      </c>
      <c r="G69">
        <f t="shared" ref="G69:G73" si="12">F69*C69</f>
        <v>15.648350014762864</v>
      </c>
      <c r="I69">
        <f t="shared" ref="I69:I73" si="13">I3</f>
        <v>40</v>
      </c>
      <c r="J69">
        <f t="shared" ref="J69:J75" si="14">1-EXP(-K69)</f>
        <v>0.52654672881054043</v>
      </c>
      <c r="K69">
        <f t="shared" si="7"/>
        <v>0.74770205931583655</v>
      </c>
      <c r="L69">
        <f t="shared" ref="L69:L75" si="15">AVERAGE(L3:M3)</f>
        <v>19449</v>
      </c>
      <c r="M69">
        <f>L69/$E$72</f>
        <v>1.3265354840909866</v>
      </c>
      <c r="N69">
        <f t="shared" ref="N69:N75" si="16">M69*J69</f>
        <v>0.69848291979921573</v>
      </c>
    </row>
    <row r="70" spans="1:14">
      <c r="A70">
        <f t="shared" si="8"/>
        <v>5</v>
      </c>
      <c r="B70">
        <f t="shared" si="9"/>
        <v>8</v>
      </c>
      <c r="C70">
        <f t="shared" si="10"/>
        <v>0.92964377407160159</v>
      </c>
      <c r="D70">
        <f t="shared" si="6"/>
        <v>2.6541839999999999</v>
      </c>
      <c r="E70">
        <f t="shared" si="11"/>
        <v>48542</v>
      </c>
      <c r="F70">
        <f>E70/$E$72</f>
        <v>3.3108481396855711</v>
      </c>
      <c r="G70">
        <f t="shared" si="12"/>
        <v>3.0779093599552354</v>
      </c>
      <c r="I70">
        <f t="shared" si="13"/>
        <v>8</v>
      </c>
      <c r="J70">
        <f t="shared" si="14"/>
        <v>0.16600539570090744</v>
      </c>
      <c r="K70">
        <f t="shared" si="7"/>
        <v>0.18152834630967535</v>
      </c>
      <c r="L70">
        <f t="shared" si="15"/>
        <v>11887</v>
      </c>
      <c r="M70">
        <f>L70/$E$72</f>
        <v>0.81076288237901983</v>
      </c>
      <c r="N70">
        <f t="shared" si="16"/>
        <v>0.13459101310893748</v>
      </c>
    </row>
    <row r="71" spans="1:14">
      <c r="A71">
        <f t="shared" si="8"/>
        <v>5</v>
      </c>
      <c r="B71">
        <f t="shared" si="9"/>
        <v>1.6</v>
      </c>
      <c r="C71">
        <f t="shared" si="10"/>
        <v>0.42049674540161019</v>
      </c>
      <c r="D71">
        <f t="shared" si="6"/>
        <v>0.54558400000000007</v>
      </c>
      <c r="E71">
        <f t="shared" si="11"/>
        <v>15615.5</v>
      </c>
      <c r="F71">
        <f>E71/$E$72</f>
        <v>1.0650683763598541</v>
      </c>
      <c r="G71">
        <f t="shared" si="12"/>
        <v>0.44785778588949593</v>
      </c>
      <c r="I71">
        <f t="shared" si="13"/>
        <v>1.6</v>
      </c>
      <c r="J71">
        <f t="shared" si="14"/>
        <v>8.160915183131312E-2</v>
      </c>
      <c r="K71">
        <f t="shared" si="7"/>
        <v>8.51322184396055E-2</v>
      </c>
      <c r="L71">
        <f t="shared" si="15"/>
        <v>11357.5</v>
      </c>
      <c r="M71">
        <f>L71/$E$72</f>
        <v>0.77464788732394363</v>
      </c>
      <c r="N71">
        <f t="shared" si="16"/>
        <v>6.321835705242565E-2</v>
      </c>
    </row>
    <row r="72" spans="1:14">
      <c r="A72">
        <f t="shared" si="8"/>
        <v>5</v>
      </c>
      <c r="B72">
        <f t="shared" si="9"/>
        <v>0.32</v>
      </c>
      <c r="C72">
        <f>1-EXP(-D72)</f>
        <v>0.16227802028784932</v>
      </c>
      <c r="D72">
        <f t="shared" si="6"/>
        <v>0.17706899999999998</v>
      </c>
      <c r="E72">
        <f t="shared" si="11"/>
        <v>14661.5</v>
      </c>
      <c r="F72">
        <f>E72/$E$73</f>
        <v>1.1801424719282005</v>
      </c>
      <c r="G72">
        <f t="shared" si="12"/>
        <v>0.19151118400211717</v>
      </c>
      <c r="I72">
        <f t="shared" si="13"/>
        <v>0.32</v>
      </c>
      <c r="J72">
        <f>1-EXP(-K72)</f>
        <v>6.4752706499505486E-2</v>
      </c>
      <c r="K72">
        <f t="shared" si="7"/>
        <v>6.6944299636182175E-2</v>
      </c>
      <c r="L72">
        <f t="shared" si="15"/>
        <v>10614</v>
      </c>
      <c r="M72">
        <f>L72/$E$73</f>
        <v>0.85434861351471003</v>
      </c>
      <c r="N72">
        <f t="shared" si="16"/>
        <v>5.5321385019177466E-2</v>
      </c>
    </row>
    <row r="73" spans="1:14">
      <c r="A73">
        <f>B72/B73</f>
        <v>5</v>
      </c>
      <c r="B73">
        <f t="shared" si="9"/>
        <v>6.4000000000000001E-2</v>
      </c>
      <c r="C73">
        <f t="shared" si="10"/>
        <v>9.3092211029951244E-2</v>
      </c>
      <c r="D73">
        <f t="shared" si="6"/>
        <v>9.771450000000001E-2</v>
      </c>
      <c r="E73">
        <f t="shared" si="11"/>
        <v>12423.5</v>
      </c>
      <c r="F73">
        <f>E73/$E$73</f>
        <v>1</v>
      </c>
      <c r="G73">
        <f t="shared" si="12"/>
        <v>9.3092211029951244E-2</v>
      </c>
      <c r="I73">
        <f t="shared" si="13"/>
        <v>6.4000000000000001E-2</v>
      </c>
      <c r="J73">
        <f t="shared" si="14"/>
        <v>4.5450158451639577E-2</v>
      </c>
      <c r="K73">
        <f t="shared" si="7"/>
        <v>4.651541973764789E-2</v>
      </c>
      <c r="L73">
        <f t="shared" si="15"/>
        <v>10977</v>
      </c>
      <c r="M73">
        <f>L73/$E$73</f>
        <v>0.88356743268805082</v>
      </c>
      <c r="N73">
        <f t="shared" si="16"/>
        <v>4.0158279818380299E-2</v>
      </c>
    </row>
    <row r="74" spans="1:14">
      <c r="B74">
        <f t="shared" ref="B74" si="17">B73/5</f>
        <v>1.2800000000000001E-2</v>
      </c>
      <c r="C74">
        <f t="shared" si="10"/>
        <v>3.4756135266073573E-2</v>
      </c>
      <c r="D74">
        <f t="shared" ref="D74:D75" si="18">AVERAGE(C8:D8)</f>
        <v>3.5374500000000003E-2</v>
      </c>
      <c r="E74">
        <f t="shared" si="11"/>
        <v>12184.5</v>
      </c>
      <c r="F74">
        <f t="shared" ref="F74:F75" si="19">E74/$E$73</f>
        <v>0.98076226506218056</v>
      </c>
      <c r="G74">
        <f t="shared" ref="G74:G75" si="20">F74*C74</f>
        <v>3.4087505948361851E-2</v>
      </c>
      <c r="J74">
        <f t="shared" si="14"/>
        <v>4.0000130208342144E-2</v>
      </c>
      <c r="K74">
        <f t="shared" ref="K74:K75" si="21">AVERAGE(J8:K8)</f>
        <v>4.0822130153954056E-2</v>
      </c>
      <c r="L74">
        <f t="shared" si="15"/>
        <v>10126</v>
      </c>
      <c r="M74">
        <f t="shared" ref="M74:M75" si="22">L74/$E$73</f>
        <v>0.81506821749104519</v>
      </c>
      <c r="N74">
        <f t="shared" si="16"/>
        <v>3.2602834828323143E-2</v>
      </c>
    </row>
    <row r="75" spans="1:14">
      <c r="B75">
        <v>0</v>
      </c>
      <c r="C75">
        <f t="shared" si="10"/>
        <v>5.6659849159802711E-2</v>
      </c>
      <c r="D75">
        <f t="shared" si="18"/>
        <v>5.8328350000000001E-2</v>
      </c>
      <c r="E75">
        <f t="shared" si="11"/>
        <v>11100.5</v>
      </c>
      <c r="F75">
        <f t="shared" si="19"/>
        <v>0.893508270616171</v>
      </c>
      <c r="G75">
        <f t="shared" si="20"/>
        <v>5.0626043836148431E-2</v>
      </c>
      <c r="J75">
        <f t="shared" si="14"/>
        <v>2.250460359140305E-2</v>
      </c>
      <c r="K75">
        <f t="shared" si="21"/>
        <v>2.2761696690128778E-2</v>
      </c>
      <c r="L75">
        <f t="shared" si="15"/>
        <v>11048</v>
      </c>
      <c r="M75">
        <f t="shared" si="22"/>
        <v>0.88928240833903494</v>
      </c>
      <c r="N75">
        <f t="shared" si="16"/>
        <v>2.00129480804782E-2</v>
      </c>
    </row>
    <row r="78" spans="1:14">
      <c r="C78">
        <f>1-EXP(-D78)</f>
        <v>2.8753032917367749E-2</v>
      </c>
      <c r="D78">
        <f xml:space="preserve"> AVERAGE(D13:E13)</f>
        <v>2.9174499999999999E-2</v>
      </c>
      <c r="E78">
        <f>AVERAGE(F13:G13)</f>
        <v>12360</v>
      </c>
      <c r="F78">
        <f>E78/$E$73</f>
        <v>0.99488871896003539</v>
      </c>
      <c r="G78">
        <f>F78*C78</f>
        <v>2.8606068085375729E-2</v>
      </c>
    </row>
    <row r="79" spans="1:14">
      <c r="C79">
        <f t="shared" ref="C79:C83" si="23">1-EXP(-D79)</f>
        <v>0.98375192761980734</v>
      </c>
      <c r="D79">
        <f t="shared" ref="D79:D83" si="24" xml:space="preserve"> AVERAGE(D14:E14)</f>
        <v>4.1197809999999997</v>
      </c>
      <c r="E79">
        <f t="shared" ref="E79:E83" si="25">AVERAGE(F14:G14)</f>
        <v>203963.5</v>
      </c>
      <c r="F79">
        <f t="shared" ref="F79:F83" si="26">E79/$E$73</f>
        <v>16.417555439288446</v>
      </c>
      <c r="G79">
        <f t="shared" ref="G79:G83" si="27">F79*C79</f>
        <v>16.15080181020506</v>
      </c>
    </row>
    <row r="80" spans="1:14">
      <c r="C80">
        <f t="shared" si="23"/>
        <v>0.48637250799919018</v>
      </c>
      <c r="D80">
        <f t="shared" si="24"/>
        <v>0.66625699999999999</v>
      </c>
      <c r="E80">
        <f t="shared" si="25"/>
        <v>16320</v>
      </c>
      <c r="F80">
        <f t="shared" si="26"/>
        <v>1.3136394735782992</v>
      </c>
      <c r="G80">
        <f t="shared" si="27"/>
        <v>0.63891812537101333</v>
      </c>
    </row>
    <row r="81" spans="2:7">
      <c r="C81">
        <f t="shared" si="23"/>
        <v>3.3801519964903548E-2</v>
      </c>
      <c r="D81">
        <f t="shared" si="24"/>
        <v>3.4386E-2</v>
      </c>
      <c r="E81">
        <f t="shared" si="25"/>
        <v>12342</v>
      </c>
      <c r="F81">
        <f t="shared" si="26"/>
        <v>0.99343985189358874</v>
      </c>
      <c r="G81">
        <f t="shared" si="27"/>
        <v>3.3579776987711966E-2</v>
      </c>
    </row>
    <row r="82" spans="2:7">
      <c r="C82">
        <f t="shared" si="23"/>
        <v>0.96464464807719719</v>
      </c>
      <c r="D82">
        <f t="shared" si="24"/>
        <v>3.3423055000000002</v>
      </c>
      <c r="E82">
        <f t="shared" si="25"/>
        <v>179374</v>
      </c>
      <c r="F82">
        <f t="shared" si="26"/>
        <v>14.438282287600114</v>
      </c>
      <c r="G82">
        <f t="shared" si="27"/>
        <v>13.927811736161241</v>
      </c>
    </row>
    <row r="83" spans="2:7">
      <c r="C83">
        <f t="shared" si="23"/>
        <v>0.39792063089701846</v>
      </c>
      <c r="D83">
        <f t="shared" si="24"/>
        <v>0.50736599999999998</v>
      </c>
      <c r="E83">
        <f t="shared" si="25"/>
        <v>15390.5</v>
      </c>
      <c r="F83">
        <f t="shared" si="26"/>
        <v>1.2388215881192901</v>
      </c>
      <c r="G83">
        <f t="shared" si="27"/>
        <v>0.49295266791327425</v>
      </c>
    </row>
    <row r="87" spans="2:7">
      <c r="B87">
        <f>B21</f>
        <v>200</v>
      </c>
      <c r="C87">
        <f>1-EXP(-D87)</f>
        <v>0.98980196097881645</v>
      </c>
      <c r="D87">
        <f t="shared" ref="D87:D92" si="28">AVERAGE(C21:D21)</f>
        <v>4.5855598299999993</v>
      </c>
      <c r="E87">
        <f>AVERAGE(E21:F21)</f>
        <v>47709.5</v>
      </c>
      <c r="F87">
        <f>E87/$E$72</f>
        <v>3.2540667735224909</v>
      </c>
      <c r="G87">
        <f>F87*C87</f>
        <v>3.2208816735885715</v>
      </c>
    </row>
    <row r="88" spans="2:7">
      <c r="B88">
        <f t="shared" ref="B88:B92" si="29">B22</f>
        <v>40</v>
      </c>
      <c r="C88">
        <f t="shared" ref="C88:C94" si="30">1-EXP(-D88)</f>
        <v>0.57582079086805327</v>
      </c>
      <c r="D88">
        <f t="shared" si="28"/>
        <v>0.85759925000000004</v>
      </c>
      <c r="E88">
        <f t="shared" ref="E88:E94" si="31">AVERAGE(E22:F22)</f>
        <v>14087</v>
      </c>
      <c r="F88">
        <f>E88/$E$72</f>
        <v>0.96081574190908159</v>
      </c>
      <c r="G88">
        <f t="shared" ref="G88:G94" si="32">F88*C88</f>
        <v>0.55325768038456269</v>
      </c>
    </row>
    <row r="89" spans="2:7">
      <c r="B89">
        <f t="shared" si="29"/>
        <v>8</v>
      </c>
      <c r="C89">
        <f t="shared" si="30"/>
        <v>0.16208592537142119</v>
      </c>
      <c r="D89">
        <f t="shared" si="28"/>
        <v>0.17683972000000001</v>
      </c>
      <c r="E89">
        <f t="shared" si="31"/>
        <v>11199</v>
      </c>
      <c r="F89">
        <f>E89/$E$72</f>
        <v>0.7638372608532551</v>
      </c>
      <c r="G89">
        <f t="shared" si="32"/>
        <v>0.12380726925857148</v>
      </c>
    </row>
    <row r="90" spans="2:7">
      <c r="B90">
        <f t="shared" si="29"/>
        <v>1.6</v>
      </c>
      <c r="C90">
        <f t="shared" si="30"/>
        <v>6.7968158331698225E-2</v>
      </c>
      <c r="D90">
        <f t="shared" si="28"/>
        <v>7.0388300000000001E-2</v>
      </c>
      <c r="E90">
        <f t="shared" si="31"/>
        <v>11272</v>
      </c>
      <c r="F90">
        <f>E90/$E$72</f>
        <v>0.76881628755584352</v>
      </c>
      <c r="G90">
        <f t="shared" si="32"/>
        <v>5.2255027160584007E-2</v>
      </c>
    </row>
    <row r="91" spans="2:7">
      <c r="B91">
        <f t="shared" si="29"/>
        <v>0.32</v>
      </c>
      <c r="C91">
        <f t="shared" si="30"/>
        <v>2.4796332446242131E-2</v>
      </c>
      <c r="D91">
        <f t="shared" si="28"/>
        <v>2.510894E-2</v>
      </c>
      <c r="E91">
        <f t="shared" si="31"/>
        <v>10982.5</v>
      </c>
      <c r="F91">
        <f>E91/$E$73</f>
        <v>0.88401014206946515</v>
      </c>
      <c r="G91">
        <f t="shared" si="32"/>
        <v>2.1920209368604195E-2</v>
      </c>
    </row>
    <row r="92" spans="2:7">
      <c r="B92">
        <f t="shared" si="29"/>
        <v>6.4000000000000001E-2</v>
      </c>
      <c r="C92">
        <f t="shared" si="30"/>
        <v>1.5949999790701663E-2</v>
      </c>
      <c r="D92">
        <f t="shared" si="28"/>
        <v>1.607857E-2</v>
      </c>
      <c r="E92">
        <f t="shared" si="31"/>
        <v>10216.5</v>
      </c>
      <c r="F92">
        <f>E92/$E$73</f>
        <v>0.82235279913067971</v>
      </c>
      <c r="G92">
        <f t="shared" si="32"/>
        <v>1.3116526974017268E-2</v>
      </c>
    </row>
    <row r="93" spans="2:7">
      <c r="B93">
        <f t="shared" ref="B93" si="33">B92/5</f>
        <v>1.2800000000000001E-2</v>
      </c>
      <c r="C93">
        <f t="shared" si="30"/>
        <v>1.1133650007217444E-2</v>
      </c>
      <c r="D93">
        <f t="shared" ref="D93:D94" si="34">AVERAGE(C27:D27)</f>
        <v>1.1196093000000001E-2</v>
      </c>
      <c r="E93">
        <f t="shared" si="31"/>
        <v>10692</v>
      </c>
      <c r="F93">
        <f t="shared" ref="F93:F94" si="35">E93/$E$73</f>
        <v>0.86062703746931224</v>
      </c>
      <c r="G93">
        <f t="shared" si="32"/>
        <v>9.5819202219317359E-3</v>
      </c>
    </row>
    <row r="94" spans="2:7">
      <c r="B94">
        <v>0</v>
      </c>
      <c r="C94">
        <f t="shared" si="30"/>
        <v>1.0756723200503693E-2</v>
      </c>
      <c r="D94">
        <f t="shared" si="34"/>
        <v>1.0814995000000001E-2</v>
      </c>
      <c r="E94">
        <f t="shared" si="31"/>
        <v>8230</v>
      </c>
      <c r="F94">
        <f t="shared" si="35"/>
        <v>0.66245421982533104</v>
      </c>
      <c r="G94">
        <f t="shared" si="32"/>
        <v>7.1258366756667118E-3</v>
      </c>
    </row>
    <row r="97" spans="3:7">
      <c r="C97">
        <f>1-EXP(-D97)</f>
        <v>1.9100327216544977E-2</v>
      </c>
      <c r="D97">
        <f xml:space="preserve"> AVERAGE(D32:E32)</f>
        <v>1.9285095000000002E-2</v>
      </c>
      <c r="E97">
        <f>AVERAGE(F32:G32)</f>
        <v>11205</v>
      </c>
      <c r="F97">
        <f>E97/$E$73</f>
        <v>0.90191974886304183</v>
      </c>
      <c r="G97">
        <f>F97*C97</f>
        <v>1.7226962326348169E-2</v>
      </c>
    </row>
    <row r="98" spans="3:7">
      <c r="C98">
        <f t="shared" ref="C98:C102" si="36">1-EXP(-D98)</f>
        <v>0.56323810714956835</v>
      </c>
      <c r="D98">
        <f t="shared" ref="D98:D102" si="37" xml:space="preserve"> AVERAGE(D33:E33)</f>
        <v>0.82836709999999991</v>
      </c>
      <c r="E98">
        <f t="shared" ref="E98:E102" si="38">AVERAGE(F33:G33)</f>
        <v>12444</v>
      </c>
      <c r="F98">
        <f t="shared" ref="F98:F102" si="39">E98/$E$73</f>
        <v>1.0016500986034531</v>
      </c>
      <c r="G98">
        <f t="shared" ref="G98:G102" si="40">F98*C98</f>
        <v>0.56416750556358741</v>
      </c>
    </row>
    <row r="99" spans="3:7">
      <c r="C99">
        <f t="shared" si="36"/>
        <v>7.3944952908800543E-2</v>
      </c>
      <c r="D99">
        <f t="shared" si="37"/>
        <v>7.682159999999999E-2</v>
      </c>
      <c r="E99">
        <f t="shared" si="38"/>
        <v>11000.5</v>
      </c>
      <c r="F99">
        <f t="shared" si="39"/>
        <v>0.8854590091359118</v>
      </c>
      <c r="G99">
        <f t="shared" si="40"/>
        <v>6.5475224733228185E-2</v>
      </c>
    </row>
    <row r="100" spans="3:7">
      <c r="C100">
        <f t="shared" si="36"/>
        <v>1.4550153391554299E-2</v>
      </c>
      <c r="D100">
        <f t="shared" si="37"/>
        <v>1.4657045E-2</v>
      </c>
      <c r="E100">
        <f t="shared" si="38"/>
        <v>9387.5</v>
      </c>
      <c r="F100">
        <f t="shared" si="39"/>
        <v>0.75562442145933106</v>
      </c>
      <c r="G100">
        <f t="shared" si="40"/>
        <v>1.099445123863774E-2</v>
      </c>
    </row>
    <row r="101" spans="3:7">
      <c r="C101">
        <f t="shared" si="36"/>
        <v>0.55930638695967705</v>
      </c>
      <c r="D101">
        <f t="shared" si="37"/>
        <v>0.81940539999999995</v>
      </c>
      <c r="E101">
        <f t="shared" si="38"/>
        <v>12349.5</v>
      </c>
      <c r="F101">
        <f t="shared" si="39"/>
        <v>0.99404354650460824</v>
      </c>
      <c r="G101">
        <f t="shared" si="40"/>
        <v>0.55597490447607611</v>
      </c>
    </row>
    <row r="102" spans="3:7">
      <c r="C102">
        <f t="shared" si="36"/>
        <v>8.2837945614930408E-2</v>
      </c>
      <c r="D102">
        <f t="shared" si="37"/>
        <v>8.6471099999999995E-2</v>
      </c>
      <c r="E102">
        <f t="shared" si="38"/>
        <v>10510.5</v>
      </c>
      <c r="F102">
        <f t="shared" si="39"/>
        <v>0.84601762788264179</v>
      </c>
      <c r="G102">
        <f t="shared" si="40"/>
        <v>7.0082362247814708E-2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Stephanie</dc:creator>
  <cp:keywords/>
  <dc:description/>
  <cp:lastModifiedBy>Stephanie Zhang</cp:lastModifiedBy>
  <cp:revision/>
  <dcterms:created xsi:type="dcterms:W3CDTF">2025-10-07T18:08:31Z</dcterms:created>
  <dcterms:modified xsi:type="dcterms:W3CDTF">2026-03-18T20:19:48Z</dcterms:modified>
  <cp:category/>
  <cp:contentStatus/>
</cp:coreProperties>
</file>